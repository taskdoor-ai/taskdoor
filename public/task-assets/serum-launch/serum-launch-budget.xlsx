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2e745e787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发总览" sheetId="1" r:id="R401d558105f94986"/>
    <x:sheet xmlns:r="http://schemas.openxmlformats.org/officeDocument/2006/relationships" name="阶段预算" sheetId="2" r:id="R6d336e3004424ab1"/>
    <x:sheet xmlns:r="http://schemas.openxmlformats.org/officeDocument/2006/relationships" name="库存渠道" sheetId="3" r:id="Rb2dc33f3e35f4710"/>
    <x:sheet xmlns:r="http://schemas.openxmlformats.org/officeDocument/2006/relationships" name="风险门禁" sheetId="4" r:id="R5bb42a9b717244a4"/>
    <x:sheet xmlns:r="http://schemas.openxmlformats.org/officeDocument/2006/relationships" name="指标字典" sheetId="5" r:id="R8b0f1d0a161a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¥&quot;#,##0;(&quot;¥&quot;#,##0);&quot;–&quot;"/>
    <x:numFmt numFmtId="201" formatCode="0.0%"/>
    <x:numFmt numFmtId="202" formatCode="yyyy-mm-dd"/>
    <x:numFmt numFmtId="203" formatCode="#,##0;(#,##0);&quot;–&quot;"/>
    <x:numFmt numFmtId="204" formatCode="0.00"/>
    <x:numFmt numFmtId="205" formatCode="0"/>
  </x:numFmts>
  <x:fonts count="9">
    <x:font>
      <x:sz val="11"/>
      <x:name val="Carlito"/>
    </x:font>
    <x:font>
      <x:sz val="10"/>
      <x:color rgb="FF332A3B"/>
      <x:name val="Arial"/>
    </x:font>
    <x:font>
      <x:b/>
      <x:sz val="15"/>
      <x:color rgb="FF332A3B"/>
      <x:name val="Arial"/>
    </x:font>
    <x:font>
      <x:i/>
      <x:sz val="10"/>
      <x:color rgb="FF786E80"/>
      <x:name val="Arial"/>
    </x:font>
    <x:font>
      <x:b/>
      <x:sz val="10"/>
      <x:color rgb="FFFFFFFF"/>
      <x:name val="Arial"/>
    </x:font>
    <x:font>
      <x:sz val="10"/>
      <x:color rgb="FF245FC6"/>
      <x:name val="Arial"/>
    </x:font>
    <x:font>
      <x:sz val="10"/>
      <x:color rgb="FF21704D"/>
      <x:name val="Arial"/>
    </x:font>
    <x:font>
      <x:b/>
      <x:sz val="10"/>
      <x:color rgb="FF332A3B"/>
      <x:name val="Arial"/>
    </x:font>
    <x:font>
      <x:sz val="10"/>
      <x:color rgb="FF786E8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A3855"/>
      </x:patternFill>
    </x:fill>
    <x:fill>
      <x:patternFill patternType="solid">
        <x:fgColor rgb="FFF6F2F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CD4E0"/>
      </x:bottom>
      <x:diagonal/>
    </x:border>
    <x:border>
      <x:left/>
      <x:right/>
      <x:top/>
      <x:bottom style="thin">
        <x:color rgb="FFEEE8F1"/>
      </x:bottom>
      <x:diagonal/>
    </x:border>
    <x:border>
      <x:left/>
      <x:right/>
      <x:top style="thin">
        <x:color rgb="FFEEE8F1"/>
      </x:top>
      <x:bottom style="thin">
        <x:color rgb="FFEEE8F1"/>
      </x:bottom>
      <x:diagonal/>
    </x:border>
    <x:border>
      <x:left/>
      <x:right/>
      <x:top style="thin">
        <x:color rgb="FFEEE8F1"/>
      </x:top>
      <x:bottom/>
      <x:diagonal/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6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6" fillId="0" borderId="2" xfId="0" applyNumberFormat="1" applyFont="1" applyFill="1" applyBorder="1" applyAlignment="1">
      <x:alignment horizontal="left" vertical="center"/>
    </x:xf>
    <x:xf numFmtId="201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200" fontId="6" fillId="0" borderId="3" xfId="0" applyNumberFormat="1" applyFont="1" applyFill="1" applyBorder="1" applyAlignment="1">
      <x:alignment horizontal="left" vertical="center"/>
    </x:xf>
    <x:xf numFmtId="201" fontId="1" fillId="0" borderId="3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/>
    </x:xf>
    <x:xf numFmtId="200" fontId="6" fillId="0" borderId="4" xfId="0" applyNumberFormat="1" applyFont="1" applyFill="1" applyBorder="1" applyAlignment="1">
      <x:alignment horizontal="left" vertical="center"/>
    </x:xf>
    <x:xf numFmtId="201" fontId="1" fillId="0" borderId="4" xfId="0" applyNumberFormat="1" applyFont="1" applyFill="1" applyBorder="1" applyAlignment="1">
      <x:alignment horizontal="left" vertical="center"/>
    </x:xf>
    <x:xf numFmtId="202" fontId="1" fillId="0" borderId="2" xfId="0" applyNumberFormat="1" applyFont="1" applyFill="1" applyBorder="1" applyAlignment="1">
      <x:alignment horizontal="left" vertical="center"/>
    </x:xf>
    <x:xf numFmtId="202" fontId="1" fillId="0" borderId="3" xfId="0" applyNumberFormat="1" applyFont="1" applyFill="1" applyBorder="1" applyAlignment="1">
      <x:alignment horizontal="left" vertical="center"/>
    </x:xf>
    <x:xf numFmtId="202" fontId="1" fillId="0" borderId="4" xfId="0" applyNumberFormat="1" applyFont="1" applyFill="1" applyBorder="1" applyAlignment="1">
      <x:alignment horizontal="left" vertical="center"/>
    </x:xf>
    <x:xf numFmtId="0" fontId="5" fillId="0" borderId="2" xfId="0" applyNumberFormat="1" applyFont="1" applyFill="1" applyBorder="1" applyAlignment="1">
      <x:alignment horizontal="left" vertical="center"/>
    </x:xf>
    <x:xf numFmtId="0" fontId="5" fillId="0" borderId="3" xfId="0" applyNumberFormat="1" applyFont="1" applyFill="1" applyBorder="1" applyAlignment="1">
      <x:alignment horizontal="left" vertical="center"/>
    </x:xf>
    <x:xf numFmtId="0" fontId="5" fillId="0" borderId="4" xfId="0" applyNumberFormat="1" applyFont="1" applyFill="1" applyBorder="1" applyAlignment="1">
      <x:alignment horizontal="left" vertical="center"/>
    </x:xf>
    <x:xf numFmtId="203" fontId="5" fillId="0" borderId="2" xfId="0" applyNumberFormat="1" applyFont="1" applyFill="1" applyBorder="1" applyAlignment="1">
      <x:alignment horizontal="left" vertical="center"/>
    </x:xf>
    <x:xf numFmtId="203" fontId="5" fillId="0" borderId="3" xfId="0" applyNumberFormat="1" applyFont="1" applyFill="1" applyBorder="1" applyAlignment="1">
      <x:alignment horizontal="left" vertical="center"/>
    </x:xf>
    <x:xf numFmtId="203" fontId="5" fillId="0" borderId="4" xfId="0" applyNumberFormat="1" applyFont="1" applyFill="1" applyBorder="1" applyAlignment="1">
      <x:alignment horizontal="left" vertical="center"/>
    </x:xf>
    <x:xf numFmtId="203" fontId="5" fillId="0" borderId="2" xfId="0" applyNumberFormat="1" applyFont="1" applyFill="1" applyBorder="1" applyAlignment="1">
      <x:alignment horizontal="right" vertical="center"/>
    </x:xf>
    <x:xf numFmtId="200" fontId="6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3" fontId="5" fillId="0" borderId="3" xfId="0" applyNumberFormat="1" applyFont="1" applyFill="1" applyBorder="1" applyAlignment="1">
      <x:alignment horizontal="right" vertical="center"/>
    </x:xf>
    <x:xf numFmtId="200" fontId="6" fillId="0" borderId="3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right" vertical="center"/>
    </x:xf>
    <x:xf numFmtId="203" fontId="5" fillId="0" borderId="4" xfId="0" applyNumberFormat="1" applyFont="1" applyFill="1" applyBorder="1" applyAlignment="1">
      <x:alignment horizontal="right" vertical="center"/>
    </x:xf>
    <x:xf numFmtId="200" fontId="6" fillId="0" borderId="4" xfId="0" applyNumberFormat="1" applyFont="1" applyFill="1" applyBorder="1" applyAlignment="1">
      <x:alignment horizontal="right" vertical="center"/>
    </x:xf>
    <x:xf numFmtId="201" fontId="1" fillId="0" borderId="4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3" fontId="7" fillId="3" borderId="0" xfId="0" applyNumberFormat="1" applyFont="1" applyFill="1" applyBorder="1" applyAlignment="1">
      <x:alignment vertical="center"/>
    </x:xf>
    <x:xf numFmtId="204" fontId="7" fillId="3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3" fontId="7" fillId="3" borderId="0" xfId="0" applyNumberFormat="1" applyFont="1" applyFill="1" applyBorder="1" applyAlignment="1">
      <x:alignment horizontal="right" vertical="center"/>
    </x:xf>
    <x:xf numFmtId="201" fontId="7" fillId="3" borderId="0" xfId="0" applyNumberFormat="1" applyFont="1" applyFill="1" applyBorder="1" applyAlignment="1">
      <x:alignment horizontal="right" vertical="center"/>
    </x:xf>
    <x:xf numFmtId="200" fontId="7" fillId="3" borderId="0" xfId="0" applyNumberFormat="1" applyFont="1" applyFill="1" applyBorder="1" applyAlignment="1">
      <x:alignment horizontal="right" vertical="center"/>
    </x:xf>
    <x:xf numFmtId="204" fontId="7" fillId="3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left" vertical="center"/>
    </x:xf>
    <x:xf numFmtId="203" fontId="1" fillId="0" borderId="3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left" vertical="center"/>
    </x:xf>
    <x:xf numFmtId="200" fontId="1" fillId="0" borderId="4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3" fontId="1" fillId="0" borderId="3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200" fontId="1" fillId="0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ont>
        <x:b/>
        <x:color rgb="FFAF3028"/>
      </x:font>
      <x:fill>
        <x:patternFill patternType="solid">
          <x:bgColor rgb="FFFBE9E7"/>
        </x:patternFill>
      </x:fill>
    </x:dxf>
    <x:dxf>
      <x:font>
        <x:b/>
        <x:color rgb="FFAF3028"/>
      </x:font>
      <x:fill>
        <x:patternFill patternType="solid">
          <x:bgColor rgb="FFFBE9E7"/>
        </x:patternFill>
      </x:fill>
    </x:dxf>
    <x:dxf>
      <x:font>
        <x:b/>
        <x:color rgb="FFAF3028"/>
      </x:font>
      <x:fill>
        <x:patternFill patternType="solid">
          <x:bgColor rgb="FFFBE9E7"/>
        </x:patternFill>
      </x:fill>
    </x:dxf>
    <x:dxf>
      <x:font>
        <x:color rgb="FF82570D"/>
      </x:font>
      <x:fill>
        <x:patternFill patternType="solid">
          <x:bgColor rgb="FFFFF2CF"/>
        </x:patternFill>
      </x:fill>
    </x:dxf>
    <x:dxf>
      <x:font>
        <x:b/>
        <x:color rgb="FF82570D"/>
      </x:font>
      <x:fill>
        <x:patternFill patternType="solid">
          <x:bgColor rgb="FFFFF2CF"/>
        </x:patternFill>
      </x:fill>
    </x:dxf>
    <x:dxf>
      <x:font>
        <x:b/>
        <x:color rgb="FF82570D"/>
      </x:font>
      <x:fill>
        <x:patternFill patternType="solid">
          <x:bgColor rgb="FFFFF2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ba3f4ed244201" /><Relationship Type="http://schemas.openxmlformats.org/officeDocument/2006/relationships/theme" Target="/xl/theme/theme1.xml" Id="R7d84e82ad1ae4223" /><Relationship Type="http://schemas.openxmlformats.org/officeDocument/2006/relationships/sharedStrings" Target="/xl/sharedStrings.xml" Id="Rb77882da697c488e" /><Relationship Type="http://schemas.openxmlformats.org/officeDocument/2006/relationships/worksheet" Target="/xl/worksheets/sheet1.xml" Id="R401d558105f94986" /><Relationship Type="http://schemas.openxmlformats.org/officeDocument/2006/relationships/worksheet" Target="/xl/worksheets/sheet2.xml" Id="R6d336e3004424ab1" /><Relationship Type="http://schemas.openxmlformats.org/officeDocument/2006/relationships/worksheet" Target="/xl/worksheets/sheet3.xml" Id="Rb2dc33f3e35f4710" /><Relationship Type="http://schemas.openxmlformats.org/officeDocument/2006/relationships/worksheet" Target="/xl/worksheets/sheet4.xml" Id="R5bb42a9b717244a4" /><Relationship Type="http://schemas.openxmlformats.org/officeDocument/2006/relationships/worksheet" Target="/xl/worksheets/sheet5.xml" Id="R8b0f1d0a161a40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ba4bf865b7487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92eefa2574b41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阶段预算（元）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预算（元）</c:v>
          </c:tx>
          <c:spPr>
            <a:solidFill xmlns:a="http://schemas.openxmlformats.org/drawingml/2006/main">
              <a:srgbClr val="80648B"/>
            </a:solidFill>
          </c:spPr>
          <c:invertIfNegative val="0"/>
          <c:cat>
            <c:strRef>
              <c:f>'首发总览'!$A$18:$A$20</c:f>
              <c:strCache>
                <c:ptCount val="0"/>
              </c:strCache>
            </c:strRef>
          </c:cat>
          <c:val>
            <c:numRef>
              <c:f>'首发总览'!$B$18:$B$20</c:f>
              <c:numCache>
                <c:formatCode>"¥"#,##0;("¥"#,##0);"–"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¥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渠道预留库存（件）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库存额度（件）</c:v>
          </c:tx>
          <c:spPr>
            <a:solidFill xmlns:a="http://schemas.openxmlformats.org/drawingml/2006/main">
              <a:srgbClr val="80648B"/>
            </a:solidFill>
          </c:spPr>
          <c:invertIfNegative val="0"/>
          <c:cat>
            <c:strRef>
              <c:f>'库存渠道'!$A$18:$A$20</c:f>
              <c:strCache>
                <c:ptCount val="0"/>
              </c:strCache>
            </c:strRef>
          </c:cat>
          <c:val>
            <c:numRef>
              <c:f>'库存渠道'!$B$18:$B$20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ba4bf865b7487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16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2eefa2574b41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rumDailyBudget" displayName="SerumDailyBudget" ref="A13:J40" headerRowCount="1" totalsRowCount="0" totalsRowShown="0">
  <x:autoFilter ref="A13:J40"/>
  <x:tableColumns count="10">
    <x:tableColumn id="1" name="日期"/>
    <x:tableColumn id="2" name="阶段"/>
    <x:tableColumn id="3" name="渠道"/>
    <x:tableColumn id="4" name="计划预算（元）"/>
    <x:tableColumn id="5" name="预留库存（件）"/>
    <x:tableColumn id="6" name="到手价（元）"/>
    <x:tableColumn id="7" name="阶段预算占比"/>
    <x:tableColumn id="8" name="投放负责人"/>
    <x:tableColumn id="9" name="执行状态"/>
    <x:tableColumn id="10" name="数据口径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erumLaunchGates" displayName="SerumLaunchGates" ref="A5:H13" headerRowCount="1" totalsRowCount="0" totalsRowShown="0">
  <x:autoFilter ref="A5:H13"/>
  <x:tableColumns count="8">
    <x:tableColumn id="1" name="检查项"/>
    <x:tableColumn id="2" name="负责人"/>
    <x:tableColumn id="3" name="截止日期"/>
    <x:tableColumn id="4" name="当前状态"/>
    <x:tableColumn id="5" name="现有证据 / 依据"/>
    <x:tableColumn id="6" name="下一动作"/>
    <x:tableColumn id="7" name="首发前必需（1/0）"/>
    <x:tableColumn id="8" name="已闭环（1/0）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SerumMetricDefinitions" displayName="SerumMetricDefinitions" ref="A5:J17" headerRowCount="1" totalsRowCount="0" totalsRowShown="0">
  <x:autoFilter ref="A5:J17"/>
  <x:tableColumns count="10">
    <x:tableColumn id="1" name="指标代码"/>
    <x:tableColumn id="2" name="指标"/>
    <x:tableColumn id="3" name="定义"/>
    <x:tableColumn id="4" name="分子 / 计算项"/>
    <x:tableColumn id="5" name="分母"/>
    <x:tableColumn id="6" name="单位"/>
    <x:tableColumn id="7" name="数据来源"/>
    <x:tableColumn id="8" name="报告时点"/>
    <x:tableColumn id="9" name="负责人"/>
    <x:tableColumn id="10" name="当前状态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29dd33f45b4b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b579b611b246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aa9d3b903a34b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32f8be2ebfe4b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44e912831ba42ab" /></Relationships>
</file>

<file path=xl/worksheets/sheet1.xml><?xml version="1.0" encoding="utf-8"?>
<x:worksheet xmlns:x="http://schemas.openxmlformats.org/spreadsheetml/2006/main">
  <x:sheetPr>
    <x:tabColor rgb="FF4A3855"/>
  </x:sheetPr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46" hidden="0" customWidth="1"/>
    <x:col min="5" max="5" width="13" hidden="0" customWidth="1"/>
    <x:col min="6" max="6" width="27" hidden="0" customWidth="1"/>
    <x:col min="7" max="7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秋季抗老精华首发协同计划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</x:row>
    <x:row r="3" ht="27" customHeight="1">
      <x:c r="A3" s="6" t="str">
        <x:v>合成演示数据 · 首发窗口 2026-09-10 至 2026-09-18 · 项目 Owner 周岚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9" t="str">
        <x:v>项目指标</x:v>
      </x:c>
      <x:c r="B5" s="9" t="str">
        <x:v>计划 / 状态</x:v>
      </x:c>
      <x:c r="C5" s="9" t="str">
        <x:v>单位</x:v>
      </x:c>
      <x:c r="D5" s="9" t="str">
        <x:v>口径</x:v>
      </x:c>
      <x:c r="E5" s="9" t="str">
        <x:v>负责人</x:v>
      </x:c>
      <x:c r="F5" s="9" t="str">
        <x:v>待办</x:v>
      </x:c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21" t="str">
        <x:v>首发投放预算</x:v>
      </x:c>
      <x:c r="B6" s="81" t="n">
        <x:f>'阶段预算'!C9</x:f>
        <x:v>300000</x:v>
      </x:c>
      <x:c r="C6" s="21" t="str">
        <x:v>元</x:v>
      </x:c>
      <x:c r="D6" s="21" t="str">
        <x:v>首发窗口计划投放，不含实际消耗</x:v>
      </x:c>
      <x:c r="E6" s="21" t="str">
        <x:v>许宁</x:v>
      </x:c>
      <x:c r="F6" s="21" t="str">
        <x:v>按阶段封顶审批</x:v>
      </x:c>
      <x:c r="G6" s="2"/>
      <x:c r="H6" s="2"/>
      <x:c r="I6" s="2"/>
      <x:c r="J6" s="2"/>
      <x:c r="K6" s="2"/>
      <x:c r="L6" s="2"/>
      <x:c r="M6" s="2"/>
      <x:c r="N6" s="2"/>
    </x:row>
    <x:row r="7" ht="24" customHeight="1">
      <x:c r="A7" s="24" t="str">
        <x:v>渠道预留库存</x:v>
      </x:c>
      <x:c r="B7" s="82" t="n">
        <x:f>'库存渠道'!B21</x:f>
        <x:v>12000</x:v>
      </x:c>
      <x:c r="C7" s="24" t="str">
        <x:v>件</x:v>
      </x:c>
      <x:c r="D7" s="24" t="str">
        <x:v>自播、达人直播与短视频预留合计</x:v>
      </x:c>
      <x:c r="E7" s="24" t="str">
        <x:v>梁川</x:v>
      </x:c>
      <x:c r="F7" s="24" t="str">
        <x:v>核对渠道库存保护</x:v>
      </x:c>
      <x:c r="G7" s="2"/>
      <x:c r="H7" s="2"/>
      <x:c r="I7" s="2"/>
      <x:c r="J7" s="2"/>
      <x:c r="K7" s="2"/>
      <x:c r="L7" s="2"/>
      <x:c r="M7" s="2"/>
      <x:c r="N7" s="2"/>
    </x:row>
    <x:row r="8" ht="24" customHeight="1">
      <x:c r="A8" s="24" t="str">
        <x:v>计划到手价</x:v>
      </x:c>
      <x:c r="B8" s="83" t="n">
        <x:f>'库存渠道'!B7</x:f>
        <x:v>299</x:v>
      </x:c>
      <x:c r="C8" s="24" t="str">
        <x:v>元/支</x:v>
      </x:c>
      <x:c r="D8" s="24" t="str">
        <x:v>30 ml 单支活动券后计划价</x:v>
      </x:c>
      <x:c r="E8" s="24" t="str">
        <x:v>梁川</x:v>
      </x:c>
      <x:c r="F8" s="24" t="str">
        <x:v>上线前价格复核</x:v>
      </x:c>
      <x:c r="G8" s="2"/>
      <x:c r="H8" s="2"/>
      <x:c r="I8" s="2"/>
      <x:c r="J8" s="2"/>
      <x:c r="K8" s="2"/>
      <x:c r="L8" s="2"/>
      <x:c r="M8" s="2"/>
      <x:c r="N8" s="2"/>
    </x:row>
    <x:row r="9" ht="24" customHeight="1">
      <x:c r="A9" s="24" t="str">
        <x:v>核心达人已确认</x:v>
      </x:c>
      <x:c r="B9" s="82" t="n">
        <x:f>'库存渠道'!B12</x:f>
        <x:v>6</x:v>
      </x:c>
      <x:c r="C9" s="24" t="str">
        <x:v>名</x:v>
      </x:c>
      <x:c r="D9" s="24" t="str">
        <x:v>核心名单 8 名中的意向确认数量</x:v>
      </x:c>
      <x:c r="E9" s="24" t="str">
        <x:v>周岚</x:v>
      </x:c>
      <x:c r="F9" s="24" t="str">
        <x:v>继续推进回签</x:v>
      </x:c>
      <x:c r="G9" s="2"/>
      <x:c r="H9" s="2"/>
      <x:c r="I9" s="2"/>
      <x:c r="J9" s="2"/>
      <x:c r="K9" s="2"/>
      <x:c r="L9" s="2"/>
      <x:c r="M9" s="2"/>
      <x:c r="N9" s="2"/>
    </x:row>
    <x:row r="10" ht="24" customHeight="1">
      <x:c r="A10" s="24" t="str">
        <x:v>核心达人待回签</x:v>
      </x:c>
      <x:c r="B10" s="82" t="n">
        <x:f>'库存渠道'!B13</x:f>
        <x:v>2</x:v>
      </x:c>
      <x:c r="C10" s="24" t="str">
        <x:v>名</x:v>
      </x:c>
      <x:c r="D10" s="24" t="str">
        <x:v>回签未闭环不可计为完成</x:v>
      </x:c>
      <x:c r="E10" s="24" t="str">
        <x:v>周岚</x:v>
      </x:c>
      <x:c r="F10" s="24" t="str">
        <x:v>补齐 2 份回签</x:v>
      </x:c>
      <x:c r="G10" s="2"/>
      <x:c r="H10" s="2"/>
      <x:c r="I10" s="2"/>
      <x:c r="J10" s="2"/>
      <x:c r="K10" s="2"/>
      <x:c r="L10" s="2"/>
      <x:c r="M10" s="2"/>
      <x:c r="N10" s="2"/>
    </x:row>
    <x:row r="11" ht="24" customHeight="1">
      <x:c r="A11" s="24" t="str">
        <x:v>达人确认比例</x:v>
      </x:c>
      <x:c r="B11" s="44" t="n">
        <x:f>'库存渠道'!B12/'库存渠道'!B11</x:f>
        <x:v>0.75</x:v>
      </x:c>
      <x:c r="C11" s="24" t="str">
        <x:v>%</x:v>
      </x:c>
      <x:c r="D11" s="24" t="str">
        <x:v>已确认 / 核心名单人数</x:v>
      </x:c>
      <x:c r="E11" s="24" t="str">
        <x:v>周岚</x:v>
      </x:c>
      <x:c r="F11" s="24" t="str">
        <x:v>确认不等于回签</x:v>
      </x:c>
      <x:c r="G11" s="2"/>
      <x:c r="H11" s="2"/>
      <x:c r="I11" s="2"/>
      <x:c r="J11" s="2"/>
      <x:c r="K11" s="2"/>
      <x:c r="L11" s="2"/>
      <x:c r="M11" s="2"/>
      <x:c r="N11" s="2"/>
    </x:row>
    <x:row r="12" ht="24" customHeight="1">
      <x:c r="A12" s="24" t="str">
        <x:v>首发前未闭环</x:v>
      </x:c>
      <x:c r="B12" s="82" t="n">
        <x:f>'风险门禁'!B16</x:f>
        <x:v>7</x:v>
      </x:c>
      <x:c r="C12" s="24" t="str">
        <x:v>项</x:v>
      </x:c>
      <x:c r="D12" s="24" t="str">
        <x:v>必需检查项尚未验收的数量</x:v>
      </x:c>
      <x:c r="E12" s="24" t="str">
        <x:v>周岚</x:v>
      </x:c>
      <x:c r="F12" s="24" t="str">
        <x:v>逐项归档验收材料</x:v>
      </x:c>
      <x:c r="G12" s="2"/>
      <x:c r="H12" s="2"/>
      <x:c r="I12" s="2"/>
      <x:c r="J12" s="2"/>
      <x:c r="K12" s="2"/>
      <x:c r="L12" s="2"/>
      <x:c r="M12" s="2"/>
      <x:c r="N12" s="2"/>
    </x:row>
    <x:row r="13" ht="24" customHeight="1">
      <x:c r="A13" s="24" t="str">
        <x:v>首发准备判断</x:v>
      </x:c>
      <x:c r="B13" s="24" t="str">
        <x:f>'风险门禁'!B17</x:f>
        <x:v>首发前条件未齐</x:v>
      </x:c>
      <x:c r="C13" s="24" t="str">
        <x:v>状态</x:v>
      </x:c>
      <x:c r="D13" s="24" t="str">
        <x:v>依据必需检查项验收状态</x:v>
      </x:c>
      <x:c r="E13" s="24" t="str">
        <x:v>周岚</x:v>
      </x:c>
      <x:c r="F13" s="24" t="str">
        <x:v>条件齐备后进入复核</x:v>
      </x:c>
      <x:c r="G13" s="2"/>
      <x:c r="H13" s="2"/>
      <x:c r="I13" s="2"/>
      <x:c r="J13" s="2"/>
      <x:c r="K13" s="2"/>
      <x:c r="L13" s="2"/>
      <x:c r="M13" s="2"/>
      <x:c r="N13" s="2"/>
    </x:row>
    <x:row r="14" ht="24" customHeight="1">
      <x:c r="A14" s="27" t="str">
        <x:v>按计划价计库存货值</x:v>
      </x:c>
      <x:c r="B14" s="85" t="n">
        <x:f>'库存渠道'!B25</x:f>
        <x:v>3588000</x:v>
      </x:c>
      <x:c r="C14" s="27" t="str">
        <x:v>元</x:v>
      </x:c>
      <x:c r="D14" s="27" t="str">
        <x:v>静态资源测算，非成交 GMV</x:v>
      </x:c>
      <x:c r="E14" s="27" t="str">
        <x:v>梁川</x:v>
      </x:c>
      <x:c r="F14" s="27" t="str">
        <x:v>首发后回填实际订单</x:v>
      </x:c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0" customHeight="1">
      <x:c r="A17" s="9" t="str">
        <x:v>阶段</x:v>
      </x:c>
      <x:c r="B17" s="9" t="str">
        <x:v>预算（元）</x:v>
      </x:c>
      <x:c r="C17" s="9" t="str">
        <x:v>占比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 t="str">
        <x:v>冷启</x:v>
      </x:c>
      <x:c r="B18" s="15" t="n">
        <x:f>'阶段预算'!C6</x:f>
        <x:v>60000</x:v>
      </x:c>
      <x:c r="C18" s="14" t="n">
        <x:f>'阶段预算'!E6</x:f>
        <x:v>0.2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customHeight="1">
      <x:c r="A19" s="2" t="str">
        <x:v>放量</x:v>
      </x:c>
      <x:c r="B19" s="15" t="n">
        <x:f>'阶段预算'!C7</x:f>
        <x:v>180000</x:v>
      </x:c>
      <x:c r="C19" s="14" t="n">
        <x:f>'阶段预算'!E7</x:f>
        <x:v>0.6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customHeight="1">
      <x:c r="A20" s="2" t="str">
        <x:v>追投</x:v>
      </x:c>
      <x:c r="B20" s="15" t="n">
        <x:f>'阶段预算'!C8</x:f>
        <x:v>60000</x:v>
      </x:c>
      <x:c r="C20" s="14" t="n">
        <x:f>'阶段预算'!E8</x:f>
        <x:v>0.2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80" t="str">
        <x:v>下一步：补齐达人回签、商品价格复核、库存保护与归因测试，再进入上线复核。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80" t="str">
        <x:v>数据说明：所有金额、数量和日期分配为合成计划；未提供实际销售、投放效果或临床功效结果。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</x:sheetData>
  <x:conditionalFormatting sqref="B10:B10">
    <x:cfRule type="cellIs" dxfId="4" priority="1" operator="greaterThan">
      <x:formula>0</x:formula>
    </x:cfRule>
  </x:conditionalFormatting>
  <x:conditionalFormatting sqref="B12:B12">
    <x:cfRule type="cellIs" dxfId="5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2829dd33f45b4b82"/>
</x:worksheet>
</file>

<file path=xl/worksheets/sheet2.xml><?xml version="1.0" encoding="utf-8"?>
<x:worksheet xmlns:x="http://schemas.openxmlformats.org/spreadsheetml/2006/main">
  <x:sheetPr>
    <x:tabColor rgb="FF80648B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4" hidden="0" customWidth="1"/>
    <x:col min="9" max="9" width="17" hidden="0" customWidth="1"/>
    <x:col min="10" max="10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秋季精华首发阶段预算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7" customHeight="1">
      <x:c r="A3" s="6" t="str">
        <x:v>合成演示数据 · 2026-09-10 至 2026-09-18 · 金额为计划投放预算，未录入实际消耗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9" t="str">
        <x:v>阶段</x:v>
      </x:c>
      <x:c r="B5" s="9" t="str">
        <x:v>预算上限（元）</x:v>
      </x:c>
      <x:c r="C5" s="9" t="str">
        <x:v>分配计划（元）</x:v>
      </x:c>
      <x:c r="D5" s="9" t="str">
        <x:v>未分配（元）</x:v>
      </x:c>
      <x:c r="E5" s="9" t="str">
        <x:v>计划占比</x:v>
      </x:c>
      <x:c r="F5" s="9" t="str">
        <x:v>覆盖日期</x:v>
      </x:c>
      <x:c r="G5" s="9" t="str">
        <x:v>负责人</x:v>
      </x:c>
      <x:c r="H5" s="9" t="str">
        <x:v>执行状态</x:v>
      </x:c>
      <x:c r="I5" s="2"/>
      <x:c r="J5" s="2"/>
    </x:row>
    <x:row r="6" ht="24" customHeight="1">
      <x:c r="A6" s="2" t="str">
        <x:v>冷启</x:v>
      </x:c>
      <x:c r="B6" s="11" t="n">
        <x:v>60000</x:v>
      </x:c>
      <x:c r="C6" s="15" t="n">
        <x:f>SUMIFS($D$14:$D$40,$B$14:$B$40,A6)</x:f>
        <x:v>60000</x:v>
      </x:c>
      <x:c r="D6" s="15" t="n">
        <x:f>B6-C6</x:f>
        <x:v>0</x:v>
      </x:c>
      <x:c r="E6" s="14" t="n">
        <x:f>C6/$B$9</x:f>
        <x:v>0.2</x:v>
      </x:c>
      <x:c r="F6" s="2" t="str">
        <x:v>09-10 至 09-11</x:v>
      </x:c>
      <x:c r="G6" s="2" t="str">
        <x:v>许宁</x:v>
      </x:c>
      <x:c r="H6" s="2" t="str">
        <x:v>计划待执行</x:v>
      </x:c>
      <x:c r="I6" s="2"/>
      <x:c r="J6" s="2"/>
    </x:row>
    <x:row r="7" ht="24" customHeight="1">
      <x:c r="A7" s="2" t="str">
        <x:v>放量</x:v>
      </x:c>
      <x:c r="B7" s="11" t="n">
        <x:v>180000</x:v>
      </x:c>
      <x:c r="C7" s="15" t="n">
        <x:f>SUMIFS($D$14:$D$40,$B$14:$B$40,A7)</x:f>
        <x:v>180000</x:v>
      </x:c>
      <x:c r="D7" s="15" t="n">
        <x:f>B7-C7</x:f>
        <x:v>0</x:v>
      </x:c>
      <x:c r="E7" s="14" t="n">
        <x:f>C7/$B$9</x:f>
        <x:v>0.6</x:v>
      </x:c>
      <x:c r="F7" s="2" t="str">
        <x:v>09-12 至 09-16</x:v>
      </x:c>
      <x:c r="G7" s="2" t="str">
        <x:v>许宁</x:v>
      </x:c>
      <x:c r="H7" s="2" t="str">
        <x:v>计划待执行</x:v>
      </x:c>
      <x:c r="I7" s="2"/>
      <x:c r="J7" s="2"/>
    </x:row>
    <x:row r="8" ht="24" customHeight="1">
      <x:c r="A8" s="2" t="str">
        <x:v>追投</x:v>
      </x:c>
      <x:c r="B8" s="11" t="n">
        <x:v>60000</x:v>
      </x:c>
      <x:c r="C8" s="15" t="n">
        <x:f>SUMIFS($D$14:$D$40,$B$14:$B$40,A8)</x:f>
        <x:v>60000</x:v>
      </x:c>
      <x:c r="D8" s="15" t="n">
        <x:f>B8-C8</x:f>
        <x:v>0</x:v>
      </x:c>
      <x:c r="E8" s="14" t="n">
        <x:f>C8/$B$9</x:f>
        <x:v>0.2</x:v>
      </x:c>
      <x:c r="F8" s="2" t="str">
        <x:v>09-17 至 09-18</x:v>
      </x:c>
      <x:c r="G8" s="2" t="str">
        <x:v>许宁</x:v>
      </x:c>
      <x:c r="H8" s="2" t="str">
        <x:v>计划待执行</x:v>
      </x:c>
      <x:c r="I8" s="2"/>
      <x:c r="J8" s="2"/>
    </x:row>
    <x:row r="9" ht="24" customHeight="1">
      <x:c r="A9" s="17" t="str">
        <x:v>合计</x:v>
      </x:c>
      <x:c r="B9" s="50" t="n">
        <x:f>SUM(B6:B8)</x:f>
        <x:v>300000</x:v>
      </x:c>
      <x:c r="C9" s="50" t="n">
        <x:f>SUM(C6:C8)</x:f>
        <x:v>300000</x:v>
      </x:c>
      <x:c r="D9" s="50" t="n">
        <x:f>SUM(D6:D8)</x:f>
        <x:v>0</x:v>
      </x:c>
      <x:c r="E9" s="51" t="n">
        <x:f>SUM(E6:E8)</x:f>
        <x:v>1</x:v>
      </x:c>
      <x:c r="F9" s="17" t="str">
        <x:v>09-10 至 09-18</x:v>
      </x:c>
      <x:c r="G9" s="17" t="str">
        <x:v>周岚</x:v>
      </x:c>
      <x:c r="H9" s="17" t="str">
        <x:v>计划待执行</x:v>
      </x:c>
      <x:c r="I9" s="2"/>
      <x:c r="J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17" t="str">
        <x:v>每日渠道分配</x:v>
      </x:c>
      <x:c r="B11" s="17"/>
      <x:c r="C11" s="17"/>
      <x:c r="D11" s="17"/>
      <x:c r="E11" s="17"/>
      <x:c r="F11" s="17"/>
      <x:c r="G11" s="17"/>
      <x:c r="H11" s="17"/>
      <x:c r="I11" s="17"/>
      <x:c r="J11" s="17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0" customHeight="1">
      <x:c r="A13" s="9" t="str">
        <x:v>日期</x:v>
      </x:c>
      <x:c r="B13" s="9" t="str">
        <x:v>阶段</x:v>
      </x:c>
      <x:c r="C13" s="9" t="str">
        <x:v>渠道</x:v>
      </x:c>
      <x:c r="D13" s="9" t="str">
        <x:v>计划预算（元）</x:v>
      </x:c>
      <x:c r="E13" s="9" t="str">
        <x:v>预留库存（件）</x:v>
      </x:c>
      <x:c r="F13" s="9" t="str">
        <x:v>到手价（元）</x:v>
      </x:c>
      <x:c r="G13" s="9" t="str">
        <x:v>阶段预算占比</x:v>
      </x:c>
      <x:c r="H13" s="9" t="str">
        <x:v>投放负责人</x:v>
      </x:c>
      <x:c r="I13" s="9" t="str">
        <x:v>执行状态</x:v>
      </x:c>
      <x:c r="J13" s="9" t="str">
        <x:v>数据口径</x:v>
      </x:c>
    </x:row>
    <x:row r="14" ht="24" customHeight="1">
      <x:c r="A14" s="30" t="d">
        <x:v>2026-09-10T00:00:00.000Z</x:v>
      </x:c>
      <x:c r="B14" s="21" t="str">
        <x:v>冷启</x:v>
      </x:c>
      <x:c r="C14" s="21" t="str">
        <x:v>自播</x:v>
      </x:c>
      <x:c r="D14" s="39" t="n">
        <x:v>10400</x:v>
      </x:c>
      <x:c r="E14" s="39" t="n">
        <x:v>350</x:v>
      </x:c>
      <x:c r="F14" s="40" t="n">
        <x:f>'库存渠道'!$B$7</x:f>
        <x:v>299</x:v>
      </x:c>
      <x:c r="G14" s="41" t="n">
        <x:f>D14/SUMIFS($B$6:$B$8,$A$6:$A$8,B14)</x:f>
        <x:v>0.17333333333333334</x:v>
      </x:c>
      <x:c r="H14" s="21" t="str">
        <x:v>许宁</x:v>
      </x:c>
      <x:c r="I14" s="21" t="str">
        <x:v>计划待上线</x:v>
      </x:c>
      <x:c r="J14" s="21" t="str">
        <x:v>计划情景</x:v>
      </x:c>
    </x:row>
    <x:row r="15" ht="24" customHeight="1">
      <x:c r="A15" s="31" t="d">
        <x:v>2026-09-10T00:00:00.000Z</x:v>
      </x:c>
      <x:c r="B15" s="24" t="str">
        <x:v>冷启</x:v>
      </x:c>
      <x:c r="C15" s="24" t="str">
        <x:v>达人直播</x:v>
      </x:c>
      <x:c r="D15" s="42" t="n">
        <x:v>10400</x:v>
      </x:c>
      <x:c r="E15" s="42" t="n">
        <x:v>200</x:v>
      </x:c>
      <x:c r="F15" s="43" t="n">
        <x:f>'库存渠道'!$B$7</x:f>
        <x:v>299</x:v>
      </x:c>
      <x:c r="G15" s="44" t="n">
        <x:f>D15/SUMIFS($B$6:$B$8,$A$6:$A$8,B15)</x:f>
        <x:v>0.17333333333333334</x:v>
      </x:c>
      <x:c r="H15" s="24" t="str">
        <x:v>许宁</x:v>
      </x:c>
      <x:c r="I15" s="24" t="str">
        <x:v>计划待回签</x:v>
      </x:c>
      <x:c r="J15" s="24" t="str">
        <x:v>计划情景</x:v>
      </x:c>
    </x:row>
    <x:row r="16" ht="24" customHeight="1">
      <x:c r="A16" s="31" t="d">
        <x:v>2026-09-10T00:00:00.000Z</x:v>
      </x:c>
      <x:c r="B16" s="24" t="str">
        <x:v>冷启</x:v>
      </x:c>
      <x:c r="C16" s="24" t="str">
        <x:v>短视频</x:v>
      </x:c>
      <x:c r="D16" s="42" t="n">
        <x:v>5200</x:v>
      </x:c>
      <x:c r="E16" s="42" t="n">
        <x:v>100</x:v>
      </x:c>
      <x:c r="F16" s="43" t="n">
        <x:f>'库存渠道'!$B$7</x:f>
        <x:v>299</x:v>
      </x:c>
      <x:c r="G16" s="44" t="n">
        <x:f>D16/SUMIFS($B$6:$B$8,$A$6:$A$8,B16)</x:f>
        <x:v>0.08666666666666667</x:v>
      </x:c>
      <x:c r="H16" s="24" t="str">
        <x:v>许宁</x:v>
      </x:c>
      <x:c r="I16" s="24" t="str">
        <x:v>计划待排期</x:v>
      </x:c>
      <x:c r="J16" s="24" t="str">
        <x:v>计划情景</x:v>
      </x:c>
    </x:row>
    <x:row r="17" ht="24" customHeight="1">
      <x:c r="A17" s="31" t="d">
        <x:v>2026-09-11T00:00:00.000Z</x:v>
      </x:c>
      <x:c r="B17" s="24" t="str">
        <x:v>冷启</x:v>
      </x:c>
      <x:c r="C17" s="24" t="str">
        <x:v>自播</x:v>
      </x:c>
      <x:c r="D17" s="42" t="n">
        <x:v>13600</x:v>
      </x:c>
      <x:c r="E17" s="42" t="n">
        <x:v>450</x:v>
      </x:c>
      <x:c r="F17" s="43" t="n">
        <x:f>'库存渠道'!$B$7</x:f>
        <x:v>299</x:v>
      </x:c>
      <x:c r="G17" s="44" t="n">
        <x:f>D17/SUMIFS($B$6:$B$8,$A$6:$A$8,B17)</x:f>
        <x:v>0.22666666666666666</x:v>
      </x:c>
      <x:c r="H17" s="24" t="str">
        <x:v>许宁</x:v>
      </x:c>
      <x:c r="I17" s="24" t="str">
        <x:v>计划待上线</x:v>
      </x:c>
      <x:c r="J17" s="24" t="str">
        <x:v>计划情景</x:v>
      </x:c>
    </x:row>
    <x:row r="18" ht="24" customHeight="1">
      <x:c r="A18" s="31" t="d">
        <x:v>2026-09-11T00:00:00.000Z</x:v>
      </x:c>
      <x:c r="B18" s="24" t="str">
        <x:v>冷启</x:v>
      </x:c>
      <x:c r="C18" s="24" t="str">
        <x:v>达人直播</x:v>
      </x:c>
      <x:c r="D18" s="42" t="n">
        <x:v>13600</x:v>
      </x:c>
      <x:c r="E18" s="42" t="n">
        <x:v>300</x:v>
      </x:c>
      <x:c r="F18" s="43" t="n">
        <x:f>'库存渠道'!$B$7</x:f>
        <x:v>299</x:v>
      </x:c>
      <x:c r="G18" s="44" t="n">
        <x:f>D18/SUMIFS($B$6:$B$8,$A$6:$A$8,B18)</x:f>
        <x:v>0.22666666666666666</x:v>
      </x:c>
      <x:c r="H18" s="24" t="str">
        <x:v>许宁</x:v>
      </x:c>
      <x:c r="I18" s="24" t="str">
        <x:v>计划待回签</x:v>
      </x:c>
      <x:c r="J18" s="24" t="str">
        <x:v>计划情景</x:v>
      </x:c>
    </x:row>
    <x:row r="19" ht="24" customHeight="1">
      <x:c r="A19" s="31" t="d">
        <x:v>2026-09-11T00:00:00.000Z</x:v>
      </x:c>
      <x:c r="B19" s="24" t="str">
        <x:v>冷启</x:v>
      </x:c>
      <x:c r="C19" s="24" t="str">
        <x:v>短视频</x:v>
      </x:c>
      <x:c r="D19" s="42" t="n">
        <x:v>6800</x:v>
      </x:c>
      <x:c r="E19" s="42" t="n">
        <x:v>150</x:v>
      </x:c>
      <x:c r="F19" s="43" t="n">
        <x:f>'库存渠道'!$B$7</x:f>
        <x:v>299</x:v>
      </x:c>
      <x:c r="G19" s="44" t="n">
        <x:f>D19/SUMIFS($B$6:$B$8,$A$6:$A$8,B19)</x:f>
        <x:v>0.11333333333333333</x:v>
      </x:c>
      <x:c r="H19" s="24" t="str">
        <x:v>许宁</x:v>
      </x:c>
      <x:c r="I19" s="24" t="str">
        <x:v>计划待排期</x:v>
      </x:c>
      <x:c r="J19" s="24" t="str">
        <x:v>计划情景</x:v>
      </x:c>
    </x:row>
    <x:row r="20" ht="24" customHeight="1">
      <x:c r="A20" s="31" t="d">
        <x:v>2026-09-12T00:00:00.000Z</x:v>
      </x:c>
      <x:c r="B20" s="24" t="str">
        <x:v>放量</x:v>
      </x:c>
      <x:c r="C20" s="24" t="str">
        <x:v>自播</x:v>
      </x:c>
      <x:c r="D20" s="42" t="n">
        <x:v>12000</x:v>
      </x:c>
      <x:c r="E20" s="42" t="n">
        <x:v>500</x:v>
      </x:c>
      <x:c r="F20" s="43" t="n">
        <x:f>'库存渠道'!$B$7</x:f>
        <x:v>299</x:v>
      </x:c>
      <x:c r="G20" s="44" t="n">
        <x:f>D20/SUMIFS($B$6:$B$8,$A$6:$A$8,B20)</x:f>
        <x:v>0.06666666666666667</x:v>
      </x:c>
      <x:c r="H20" s="24" t="str">
        <x:v>许宁</x:v>
      </x:c>
      <x:c r="I20" s="24" t="str">
        <x:v>计划待上线</x:v>
      </x:c>
      <x:c r="J20" s="24" t="str">
        <x:v>计划情景</x:v>
      </x:c>
    </x:row>
    <x:row r="21" ht="24" customHeight="1">
      <x:c r="A21" s="31" t="d">
        <x:v>2026-09-12T00:00:00.000Z</x:v>
      </x:c>
      <x:c r="B21" s="24" t="str">
        <x:v>放量</x:v>
      </x:c>
      <x:c r="C21" s="24" t="str">
        <x:v>达人直播</x:v>
      </x:c>
      <x:c r="D21" s="42" t="n">
        <x:v>12000</x:v>
      </x:c>
      <x:c r="E21" s="42" t="n">
        <x:v>450</x:v>
      </x:c>
      <x:c r="F21" s="43" t="n">
        <x:f>'库存渠道'!$B$7</x:f>
        <x:v>299</x:v>
      </x:c>
      <x:c r="G21" s="44" t="n">
        <x:f>D21/SUMIFS($B$6:$B$8,$A$6:$A$8,B21)</x:f>
        <x:v>0.06666666666666667</x:v>
      </x:c>
      <x:c r="H21" s="24" t="str">
        <x:v>许宁</x:v>
      </x:c>
      <x:c r="I21" s="24" t="str">
        <x:v>计划待回签</x:v>
      </x:c>
      <x:c r="J21" s="24" t="str">
        <x:v>计划情景</x:v>
      </x:c>
    </x:row>
    <x:row r="22" ht="24" customHeight="1">
      <x:c r="A22" s="31" t="d">
        <x:v>2026-09-12T00:00:00.000Z</x:v>
      </x:c>
      <x:c r="B22" s="24" t="str">
        <x:v>放量</x:v>
      </x:c>
      <x:c r="C22" s="24" t="str">
        <x:v>短视频</x:v>
      </x:c>
      <x:c r="D22" s="42" t="n">
        <x:v>6000</x:v>
      </x:c>
      <x:c r="E22" s="42" t="n">
        <x:v>250</x:v>
      </x:c>
      <x:c r="F22" s="43" t="n">
        <x:f>'库存渠道'!$B$7</x:f>
        <x:v>299</x:v>
      </x:c>
      <x:c r="G22" s="44" t="n">
        <x:f>D22/SUMIFS($B$6:$B$8,$A$6:$A$8,B22)</x:f>
        <x:v>0.03333333333333333</x:v>
      </x:c>
      <x:c r="H22" s="24" t="str">
        <x:v>许宁</x:v>
      </x:c>
      <x:c r="I22" s="24" t="str">
        <x:v>计划待排期</x:v>
      </x:c>
      <x:c r="J22" s="24" t="str">
        <x:v>计划情景</x:v>
      </x:c>
    </x:row>
    <x:row r="23" ht="24" customHeight="1">
      <x:c r="A23" s="31" t="d">
        <x:v>2026-09-13T00:00:00.000Z</x:v>
      </x:c>
      <x:c r="B23" s="24" t="str">
        <x:v>放量</x:v>
      </x:c>
      <x:c r="C23" s="24" t="str">
        <x:v>自播</x:v>
      </x:c>
      <x:c r="D23" s="42" t="n">
        <x:v>14000</x:v>
      </x:c>
      <x:c r="E23" s="42" t="n">
        <x:v>550</x:v>
      </x:c>
      <x:c r="F23" s="43" t="n">
        <x:f>'库存渠道'!$B$7</x:f>
        <x:v>299</x:v>
      </x:c>
      <x:c r="G23" s="44" t="n">
        <x:f>D23/SUMIFS($B$6:$B$8,$A$6:$A$8,B23)</x:f>
        <x:v>0.07777777777777778</x:v>
      </x:c>
      <x:c r="H23" s="24" t="str">
        <x:v>许宁</x:v>
      </x:c>
      <x:c r="I23" s="24" t="str">
        <x:v>计划待上线</x:v>
      </x:c>
      <x:c r="J23" s="24" t="str">
        <x:v>计划情景</x:v>
      </x:c>
    </x:row>
    <x:row r="24" ht="24" customHeight="1">
      <x:c r="A24" s="31" t="d">
        <x:v>2026-09-13T00:00:00.000Z</x:v>
      </x:c>
      <x:c r="B24" s="24" t="str">
        <x:v>放量</x:v>
      </x:c>
      <x:c r="C24" s="24" t="str">
        <x:v>达人直播</x:v>
      </x:c>
      <x:c r="D24" s="42" t="n">
        <x:v>14000</x:v>
      </x:c>
      <x:c r="E24" s="42" t="n">
        <x:v>500</x:v>
      </x:c>
      <x:c r="F24" s="43" t="n">
        <x:f>'库存渠道'!$B$7</x:f>
        <x:v>299</x:v>
      </x:c>
      <x:c r="G24" s="44" t="n">
        <x:f>D24/SUMIFS($B$6:$B$8,$A$6:$A$8,B24)</x:f>
        <x:v>0.07777777777777778</x:v>
      </x:c>
      <x:c r="H24" s="24" t="str">
        <x:v>许宁</x:v>
      </x:c>
      <x:c r="I24" s="24" t="str">
        <x:v>计划待回签</x:v>
      </x:c>
      <x:c r="J24" s="24" t="str">
        <x:v>计划情景</x:v>
      </x:c>
    </x:row>
    <x:row r="25" ht="24" customHeight="1">
      <x:c r="A25" s="31" t="d">
        <x:v>2026-09-13T00:00:00.000Z</x:v>
      </x:c>
      <x:c r="B25" s="24" t="str">
        <x:v>放量</x:v>
      </x:c>
      <x:c r="C25" s="24" t="str">
        <x:v>短视频</x:v>
      </x:c>
      <x:c r="D25" s="42" t="n">
        <x:v>7000</x:v>
      </x:c>
      <x:c r="E25" s="42" t="n">
        <x:v>300</x:v>
      </x:c>
      <x:c r="F25" s="43" t="n">
        <x:f>'库存渠道'!$B$7</x:f>
        <x:v>299</x:v>
      </x:c>
      <x:c r="G25" s="44" t="n">
        <x:f>D25/SUMIFS($B$6:$B$8,$A$6:$A$8,B25)</x:f>
        <x:v>0.03888888888888889</x:v>
      </x:c>
      <x:c r="H25" s="24" t="str">
        <x:v>许宁</x:v>
      </x:c>
      <x:c r="I25" s="24" t="str">
        <x:v>计划待排期</x:v>
      </x:c>
      <x:c r="J25" s="24" t="str">
        <x:v>计划情景</x:v>
      </x:c>
    </x:row>
    <x:row r="26" ht="24" customHeight="1">
      <x:c r="A26" s="31" t="d">
        <x:v>2026-09-14T00:00:00.000Z</x:v>
      </x:c>
      <x:c r="B26" s="24" t="str">
        <x:v>放量</x:v>
      </x:c>
      <x:c r="C26" s="24" t="str">
        <x:v>自播</x:v>
      </x:c>
      <x:c r="D26" s="42" t="n">
        <x:v>16800</x:v>
      </x:c>
      <x:c r="E26" s="42" t="n">
        <x:v>650</x:v>
      </x:c>
      <x:c r="F26" s="43" t="n">
        <x:f>'库存渠道'!$B$7</x:f>
        <x:v>299</x:v>
      </x:c>
      <x:c r="G26" s="44" t="n">
        <x:f>D26/SUMIFS($B$6:$B$8,$A$6:$A$8,B26)</x:f>
        <x:v>0.09333333333333334</x:v>
      </x:c>
      <x:c r="H26" s="24" t="str">
        <x:v>许宁</x:v>
      </x:c>
      <x:c r="I26" s="24" t="str">
        <x:v>计划待上线</x:v>
      </x:c>
      <x:c r="J26" s="24" t="str">
        <x:v>计划情景</x:v>
      </x:c>
    </x:row>
    <x:row r="27" ht="24" customHeight="1">
      <x:c r="A27" s="31" t="d">
        <x:v>2026-09-14T00:00:00.000Z</x:v>
      </x:c>
      <x:c r="B27" s="24" t="str">
        <x:v>放量</x:v>
      </x:c>
      <x:c r="C27" s="24" t="str">
        <x:v>达人直播</x:v>
      </x:c>
      <x:c r="D27" s="42" t="n">
        <x:v>16800</x:v>
      </x:c>
      <x:c r="E27" s="42" t="n">
        <x:v>600</x:v>
      </x:c>
      <x:c r="F27" s="43" t="n">
        <x:f>'库存渠道'!$B$7</x:f>
        <x:v>299</x:v>
      </x:c>
      <x:c r="G27" s="44" t="n">
        <x:f>D27/SUMIFS($B$6:$B$8,$A$6:$A$8,B27)</x:f>
        <x:v>0.09333333333333334</x:v>
      </x:c>
      <x:c r="H27" s="24" t="str">
        <x:v>许宁</x:v>
      </x:c>
      <x:c r="I27" s="24" t="str">
        <x:v>计划待回签</x:v>
      </x:c>
      <x:c r="J27" s="24" t="str">
        <x:v>计划情景</x:v>
      </x:c>
    </x:row>
    <x:row r="28" ht="24" customHeight="1">
      <x:c r="A28" s="31" t="d">
        <x:v>2026-09-14T00:00:00.000Z</x:v>
      </x:c>
      <x:c r="B28" s="24" t="str">
        <x:v>放量</x:v>
      </x:c>
      <x:c r="C28" s="24" t="str">
        <x:v>短视频</x:v>
      </x:c>
      <x:c r="D28" s="42" t="n">
        <x:v>8400</x:v>
      </x:c>
      <x:c r="E28" s="42" t="n">
        <x:v>350</x:v>
      </x:c>
      <x:c r="F28" s="43" t="n">
        <x:f>'库存渠道'!$B$7</x:f>
        <x:v>299</x:v>
      </x:c>
      <x:c r="G28" s="44" t="n">
        <x:f>D28/SUMIFS($B$6:$B$8,$A$6:$A$8,B28)</x:f>
        <x:v>0.04666666666666667</x:v>
      </x:c>
      <x:c r="H28" s="24" t="str">
        <x:v>许宁</x:v>
      </x:c>
      <x:c r="I28" s="24" t="str">
        <x:v>计划待排期</x:v>
      </x:c>
      <x:c r="J28" s="24" t="str">
        <x:v>计划情景</x:v>
      </x:c>
    </x:row>
    <x:row r="29" ht="24" customHeight="1">
      <x:c r="A29" s="31" t="d">
        <x:v>2026-09-15T00:00:00.000Z</x:v>
      </x:c>
      <x:c r="B29" s="24" t="str">
        <x:v>放量</x:v>
      </x:c>
      <x:c r="C29" s="24" t="str">
        <x:v>自播</x:v>
      </x:c>
      <x:c r="D29" s="42" t="n">
        <x:v>15200</x:v>
      </x:c>
      <x:c r="E29" s="42" t="n">
        <x:v>650</x:v>
      </x:c>
      <x:c r="F29" s="43" t="n">
        <x:f>'库存渠道'!$B$7</x:f>
        <x:v>299</x:v>
      </x:c>
      <x:c r="G29" s="44" t="n">
        <x:f>D29/SUMIFS($B$6:$B$8,$A$6:$A$8,B29)</x:f>
        <x:v>0.08444444444444445</x:v>
      </x:c>
      <x:c r="H29" s="24" t="str">
        <x:v>许宁</x:v>
      </x:c>
      <x:c r="I29" s="24" t="str">
        <x:v>计划待上线</x:v>
      </x:c>
      <x:c r="J29" s="24" t="str">
        <x:v>计划情景</x:v>
      </x:c>
    </x:row>
    <x:row r="30" ht="24" customHeight="1">
      <x:c r="A30" s="31" t="d">
        <x:v>2026-09-15T00:00:00.000Z</x:v>
      </x:c>
      <x:c r="B30" s="24" t="str">
        <x:v>放量</x:v>
      </x:c>
      <x:c r="C30" s="24" t="str">
        <x:v>达人直播</x:v>
      </x:c>
      <x:c r="D30" s="42" t="n">
        <x:v>15200</x:v>
      </x:c>
      <x:c r="E30" s="42" t="n">
        <x:v>600</x:v>
      </x:c>
      <x:c r="F30" s="43" t="n">
        <x:f>'库存渠道'!$B$7</x:f>
        <x:v>299</x:v>
      </x:c>
      <x:c r="G30" s="44" t="n">
        <x:f>D30/SUMIFS($B$6:$B$8,$A$6:$A$8,B30)</x:f>
        <x:v>0.08444444444444445</x:v>
      </x:c>
      <x:c r="H30" s="24" t="str">
        <x:v>许宁</x:v>
      </x:c>
      <x:c r="I30" s="24" t="str">
        <x:v>计划待回签</x:v>
      </x:c>
      <x:c r="J30" s="24" t="str">
        <x:v>计划情景</x:v>
      </x:c>
    </x:row>
    <x:row r="31" ht="24" customHeight="1">
      <x:c r="A31" s="31" t="d">
        <x:v>2026-09-15T00:00:00.000Z</x:v>
      </x:c>
      <x:c r="B31" s="24" t="str">
        <x:v>放量</x:v>
      </x:c>
      <x:c r="C31" s="24" t="str">
        <x:v>短视频</x:v>
      </x:c>
      <x:c r="D31" s="42" t="n">
        <x:v>7600</x:v>
      </x:c>
      <x:c r="E31" s="42" t="n">
        <x:v>350</x:v>
      </x:c>
      <x:c r="F31" s="43" t="n">
        <x:f>'库存渠道'!$B$7</x:f>
        <x:v>299</x:v>
      </x:c>
      <x:c r="G31" s="44" t="n">
        <x:f>D31/SUMIFS($B$6:$B$8,$A$6:$A$8,B31)</x:f>
        <x:v>0.042222222222222223</x:v>
      </x:c>
      <x:c r="H31" s="24" t="str">
        <x:v>许宁</x:v>
      </x:c>
      <x:c r="I31" s="24" t="str">
        <x:v>计划待排期</x:v>
      </x:c>
      <x:c r="J31" s="24" t="str">
        <x:v>计划情景</x:v>
      </x:c>
    </x:row>
    <x:row r="32" ht="24" customHeight="1">
      <x:c r="A32" s="31" t="d">
        <x:v>2026-09-16T00:00:00.000Z</x:v>
      </x:c>
      <x:c r="B32" s="24" t="str">
        <x:v>放量</x:v>
      </x:c>
      <x:c r="C32" s="24" t="str">
        <x:v>自播</x:v>
      </x:c>
      <x:c r="D32" s="42" t="n">
        <x:v>14000</x:v>
      </x:c>
      <x:c r="E32" s="42" t="n">
        <x:v>650</x:v>
      </x:c>
      <x:c r="F32" s="43" t="n">
        <x:f>'库存渠道'!$B$7</x:f>
        <x:v>299</x:v>
      </x:c>
      <x:c r="G32" s="44" t="n">
        <x:f>D32/SUMIFS($B$6:$B$8,$A$6:$A$8,B32)</x:f>
        <x:v>0.07777777777777778</x:v>
      </x:c>
      <x:c r="H32" s="24" t="str">
        <x:v>许宁</x:v>
      </x:c>
      <x:c r="I32" s="24" t="str">
        <x:v>计划待上线</x:v>
      </x:c>
      <x:c r="J32" s="24" t="str">
        <x:v>计划情景</x:v>
      </x:c>
    </x:row>
    <x:row r="33" ht="24" customHeight="1">
      <x:c r="A33" s="31" t="d">
        <x:v>2026-09-16T00:00:00.000Z</x:v>
      </x:c>
      <x:c r="B33" s="24" t="str">
        <x:v>放量</x:v>
      </x:c>
      <x:c r="C33" s="24" t="str">
        <x:v>达人直播</x:v>
      </x:c>
      <x:c r="D33" s="42" t="n">
        <x:v>14000</x:v>
      </x:c>
      <x:c r="E33" s="42" t="n">
        <x:v>650</x:v>
      </x:c>
      <x:c r="F33" s="43" t="n">
        <x:f>'库存渠道'!$B$7</x:f>
        <x:v>299</x:v>
      </x:c>
      <x:c r="G33" s="44" t="n">
        <x:f>D33/SUMIFS($B$6:$B$8,$A$6:$A$8,B33)</x:f>
        <x:v>0.07777777777777778</x:v>
      </x:c>
      <x:c r="H33" s="24" t="str">
        <x:v>许宁</x:v>
      </x:c>
      <x:c r="I33" s="24" t="str">
        <x:v>计划待回签</x:v>
      </x:c>
      <x:c r="J33" s="24" t="str">
        <x:v>计划情景</x:v>
      </x:c>
    </x:row>
    <x:row r="34" ht="24" customHeight="1">
      <x:c r="A34" s="31" t="d">
        <x:v>2026-09-16T00:00:00.000Z</x:v>
      </x:c>
      <x:c r="B34" s="24" t="str">
        <x:v>放量</x:v>
      </x:c>
      <x:c r="C34" s="24" t="str">
        <x:v>短视频</x:v>
      </x:c>
      <x:c r="D34" s="42" t="n">
        <x:v>7000</x:v>
      </x:c>
      <x:c r="E34" s="42" t="n">
        <x:v>350</x:v>
      </x:c>
      <x:c r="F34" s="43" t="n">
        <x:f>'库存渠道'!$B$7</x:f>
        <x:v>299</x:v>
      </x:c>
      <x:c r="G34" s="44" t="n">
        <x:f>D34/SUMIFS($B$6:$B$8,$A$6:$A$8,B34)</x:f>
        <x:v>0.03888888888888889</x:v>
      </x:c>
      <x:c r="H34" s="24" t="str">
        <x:v>许宁</x:v>
      </x:c>
      <x:c r="I34" s="24" t="str">
        <x:v>计划待排期</x:v>
      </x:c>
      <x:c r="J34" s="24" t="str">
        <x:v>计划情景</x:v>
      </x:c>
    </x:row>
    <x:row r="35" ht="24" customHeight="1">
      <x:c r="A35" s="31" t="d">
        <x:v>2026-09-17T00:00:00.000Z</x:v>
      </x:c>
      <x:c r="B35" s="24" t="str">
        <x:v>追投</x:v>
      </x:c>
      <x:c r="C35" s="24" t="str">
        <x:v>自播</x:v>
      </x:c>
      <x:c r="D35" s="42" t="n">
        <x:v>14000</x:v>
      </x:c>
      <x:c r="E35" s="42" t="n">
        <x:v>750</x:v>
      </x:c>
      <x:c r="F35" s="43" t="n">
        <x:f>'库存渠道'!$B$7</x:f>
        <x:v>299</x:v>
      </x:c>
      <x:c r="G35" s="44" t="n">
        <x:f>D35/SUMIFS($B$6:$B$8,$A$6:$A$8,B35)</x:f>
        <x:v>0.23333333333333334</x:v>
      </x:c>
      <x:c r="H35" s="24" t="str">
        <x:v>许宁</x:v>
      </x:c>
      <x:c r="I35" s="24" t="str">
        <x:v>计划待上线</x:v>
      </x:c>
      <x:c r="J35" s="24" t="str">
        <x:v>计划情景</x:v>
      </x:c>
    </x:row>
    <x:row r="36" ht="24" customHeight="1">
      <x:c r="A36" s="31" t="d">
        <x:v>2026-09-17T00:00:00.000Z</x:v>
      </x:c>
      <x:c r="B36" s="24" t="str">
        <x:v>追投</x:v>
      </x:c>
      <x:c r="C36" s="24" t="str">
        <x:v>达人直播</x:v>
      </x:c>
      <x:c r="D36" s="42" t="n">
        <x:v>14000</x:v>
      </x:c>
      <x:c r="E36" s="42" t="n">
        <x:v>700</x:v>
      </x:c>
      <x:c r="F36" s="43" t="n">
        <x:f>'库存渠道'!$B$7</x:f>
        <x:v>299</x:v>
      </x:c>
      <x:c r="G36" s="44" t="n">
        <x:f>D36/SUMIFS($B$6:$B$8,$A$6:$A$8,B36)</x:f>
        <x:v>0.23333333333333334</x:v>
      </x:c>
      <x:c r="H36" s="24" t="str">
        <x:v>许宁</x:v>
      </x:c>
      <x:c r="I36" s="24" t="str">
        <x:v>计划待回签</x:v>
      </x:c>
      <x:c r="J36" s="24" t="str">
        <x:v>计划情景</x:v>
      </x:c>
    </x:row>
    <x:row r="37" ht="24" customHeight="1">
      <x:c r="A37" s="31" t="d">
        <x:v>2026-09-17T00:00:00.000Z</x:v>
      </x:c>
      <x:c r="B37" s="24" t="str">
        <x:v>追投</x:v>
      </x:c>
      <x:c r="C37" s="24" t="str">
        <x:v>短视频</x:v>
      </x:c>
      <x:c r="D37" s="42" t="n">
        <x:v>7000</x:v>
      </x:c>
      <x:c r="E37" s="42" t="n">
        <x:v>400</x:v>
      </x:c>
      <x:c r="F37" s="43" t="n">
        <x:f>'库存渠道'!$B$7</x:f>
        <x:v>299</x:v>
      </x:c>
      <x:c r="G37" s="44" t="n">
        <x:f>D37/SUMIFS($B$6:$B$8,$A$6:$A$8,B37)</x:f>
        <x:v>0.11666666666666667</x:v>
      </x:c>
      <x:c r="H37" s="24" t="str">
        <x:v>许宁</x:v>
      </x:c>
      <x:c r="I37" s="24" t="str">
        <x:v>计划待排期</x:v>
      </x:c>
      <x:c r="J37" s="24" t="str">
        <x:v>计划情景</x:v>
      </x:c>
    </x:row>
    <x:row r="38" ht="24" customHeight="1">
      <x:c r="A38" s="31" t="d">
        <x:v>2026-09-18T00:00:00.000Z</x:v>
      </x:c>
      <x:c r="B38" s="24" t="str">
        <x:v>追投</x:v>
      </x:c>
      <x:c r="C38" s="24" t="str">
        <x:v>自播</x:v>
      </x:c>
      <x:c r="D38" s="42" t="n">
        <x:v>10000</x:v>
      </x:c>
      <x:c r="E38" s="42" t="n">
        <x:v>450</x:v>
      </x:c>
      <x:c r="F38" s="43" t="n">
        <x:f>'库存渠道'!$B$7</x:f>
        <x:v>299</x:v>
      </x:c>
      <x:c r="G38" s="44" t="n">
        <x:f>D38/SUMIFS($B$6:$B$8,$A$6:$A$8,B38)</x:f>
        <x:v>0.16666666666666666</x:v>
      </x:c>
      <x:c r="H38" s="24" t="str">
        <x:v>许宁</x:v>
      </x:c>
      <x:c r="I38" s="24" t="str">
        <x:v>计划待上线</x:v>
      </x:c>
      <x:c r="J38" s="24" t="str">
        <x:v>计划情景</x:v>
      </x:c>
    </x:row>
    <x:row r="39" ht="24" customHeight="1">
      <x:c r="A39" s="31" t="d">
        <x:v>2026-09-18T00:00:00.000Z</x:v>
      </x:c>
      <x:c r="B39" s="24" t="str">
        <x:v>追投</x:v>
      </x:c>
      <x:c r="C39" s="24" t="str">
        <x:v>达人直播</x:v>
      </x:c>
      <x:c r="D39" s="42" t="n">
        <x:v>10000</x:v>
      </x:c>
      <x:c r="E39" s="42" t="n">
        <x:v>500</x:v>
      </x:c>
      <x:c r="F39" s="43" t="n">
        <x:f>'库存渠道'!$B$7</x:f>
        <x:v>299</x:v>
      </x:c>
      <x:c r="G39" s="44" t="n">
        <x:f>D39/SUMIFS($B$6:$B$8,$A$6:$A$8,B39)</x:f>
        <x:v>0.16666666666666666</x:v>
      </x:c>
      <x:c r="H39" s="24" t="str">
        <x:v>许宁</x:v>
      </x:c>
      <x:c r="I39" s="24" t="str">
        <x:v>计划待回签</x:v>
      </x:c>
      <x:c r="J39" s="24" t="str">
        <x:v>计划情景</x:v>
      </x:c>
    </x:row>
    <x:row r="40" ht="24" customHeight="1">
      <x:c r="A40" s="32" t="d">
        <x:v>2026-09-18T00:00:00.000Z</x:v>
      </x:c>
      <x:c r="B40" s="27" t="str">
        <x:v>追投</x:v>
      </x:c>
      <x:c r="C40" s="27" t="str">
        <x:v>短视频</x:v>
      </x:c>
      <x:c r="D40" s="45" t="n">
        <x:v>5000</x:v>
      </x:c>
      <x:c r="E40" s="45" t="n">
        <x:v>250</x:v>
      </x:c>
      <x:c r="F40" s="46" t="n">
        <x:f>'库存渠道'!$B$7</x:f>
        <x:v>299</x:v>
      </x:c>
      <x:c r="G40" s="47" t="n">
        <x:f>D40/SUMIFS($B$6:$B$8,$A$6:$A$8,B40)</x:f>
        <x:v>0.08333333333333333</x:v>
      </x:c>
      <x:c r="H40" s="27" t="str">
        <x:v>许宁</x:v>
      </x:c>
      <x:c r="I40" s="27" t="str">
        <x:v>计划待排期</x:v>
      </x:c>
      <x:c r="J40" s="27" t="str">
        <x:v>计划情景</x:v>
      </x:c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</x:sheetData>
  <x:conditionalFormatting sqref="D6:D8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b579b611b246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34" hidden="0" customWidth="1"/>
    <x:col min="4" max="4" width="18" hidden="0" customWidth="1"/>
    <x:col min="5" max="5" width="13" hidden="0" customWidth="1"/>
    <x:col min="6" max="6" width="23" hidden="0" customWidth="1"/>
    <x:col min="7" max="7" width="23" hidden="0" customWidth="1"/>
    <x:col min="8" max="8" width="14" hidden="0" customWidth="1"/>
    <x:col min="9" max="9" width="17" hidden="0" customWidth="1"/>
    <x:col min="10" max="10" width="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4" t="str">
        <x:v>秋季精华库存与渠道计划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</x:row>
    <x:row r="3" ht="27" customHeight="1">
      <x:c r="A3" s="6" t="str">
        <x:v>合成演示数据 · 预留库存用于资源分配；库存数量和投放预算均不代表实际成交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9" t="str">
        <x:v>参数</x:v>
      </x:c>
      <x:c r="B5" s="9" t="str">
        <x:v>输入值</x:v>
      </x:c>
      <x:c r="C5" s="9" t="str">
        <x:v>口径</x:v>
      </x:c>
      <x:c r="D5" s="9" t="str">
        <x:v>负责人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A6" s="2" t="str">
        <x:v>精华规格</x:v>
      </x:c>
      <x:c r="B6" s="2" t="str">
        <x:v>30 ml</x:v>
      </x:c>
      <x:c r="C6" s="2" t="str">
        <x:v>单支规格</x:v>
      </x:c>
      <x:c r="D6" s="2" t="str">
        <x:v>梁川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A7" s="2" t="str">
        <x:v>计划到手价</x:v>
      </x:c>
      <x:c r="B7" s="52" t="n">
        <x:v>299</x:v>
      </x:c>
      <x:c r="C7" s="2" t="str">
        <x:v>人民币/支，活动券后计划价</x:v>
      </x:c>
      <x:c r="D7" s="2" t="str">
        <x:v>梁川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A8" s="2" t="str">
        <x:v>首发可分配库存</x:v>
      </x:c>
      <x:c r="B8" s="52" t="n">
        <x:v>12000</x:v>
      </x:c>
      <x:c r="C8" s="2" t="str">
        <x:v>件，不含赠品</x:v>
      </x:c>
      <x:c r="D8" s="2" t="str">
        <x:v>梁川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A9" s="2" t="str">
        <x:v>首发开始</x:v>
      </x:c>
      <x:c r="B9" s="53" t="d">
        <x:v>2026-09-10T00:00:00.000Z</x:v>
      </x:c>
      <x:c r="C9" s="2" t="str">
        <x:v>北京时间自然日</x:v>
      </x:c>
      <x:c r="D9" s="2" t="str">
        <x:v>周岚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A10" s="2" t="str">
        <x:v>首发结束</x:v>
      </x:c>
      <x:c r="B10" s="53" t="d">
        <x:v>2026-09-18T00:00:00.000Z</x:v>
      </x:c>
      <x:c r="C10" s="2" t="str">
        <x:v>北京时间自然日</x:v>
      </x:c>
      <x:c r="D10" s="2" t="str">
        <x:v>周岚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A11" s="2" t="str">
        <x:v>核心达人总数</x:v>
      </x:c>
      <x:c r="B11" s="52" t="n">
        <x:v>8</x:v>
      </x:c>
      <x:c r="C11" s="2" t="str">
        <x:v>本轮首发核心合作名单</x:v>
      </x:c>
      <x:c r="D11" s="2" t="str">
        <x:v>周岚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A12" s="2" t="str">
        <x:v>已确认达人</x:v>
      </x:c>
      <x:c r="B12" s="52" t="n">
        <x:v>6</x:v>
      </x:c>
      <x:c r="C12" s="2" t="str">
        <x:v>已确认意向，尚需按合作流程锁档</x:v>
      </x:c>
      <x:c r="D12" s="2" t="str">
        <x:v>周岚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A13" s="2" t="str">
        <x:v>待回签达人</x:v>
      </x:c>
      <x:c r="B13" s="54" t="n">
        <x:f>B11-B12</x:f>
        <x:v>2</x:v>
      </x:c>
      <x:c r="C13" s="2" t="str">
        <x:v>未回签不可计为闭环</x:v>
      </x:c>
      <x:c r="D13" s="2" t="str">
        <x:v>周岚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A14" s="2" t="str">
        <x:v>项目 Owner</x:v>
      </x:c>
      <x:c r="B14" s="2" t="str">
        <x:v>周岚</x:v>
      </x:c>
      <x:c r="C14" s="2" t="str">
        <x:v>首发协同与关键决策</x:v>
      </x:c>
      <x:c r="D14" s="2" t="str">
        <x:v>周岚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30" customHeight="1">
      <x:c r="A17" s="9" t="str">
        <x:v>渠道</x:v>
      </x:c>
      <x:c r="B17" s="9" t="str">
        <x:v>库存额度（件）</x:v>
      </x:c>
      <x:c r="C17" s="9" t="str">
        <x:v>日期计划合计（件）</x:v>
      </x:c>
      <x:c r="D17" s="9" t="str">
        <x:v>未分配（件）</x:v>
      </x:c>
      <x:c r="E17" s="9" t="str">
        <x:v>库存占比</x:v>
      </x:c>
      <x:c r="F17" s="9" t="str">
        <x:v>投放预算（元）</x:v>
      </x:c>
      <x:c r="G17" s="9" t="str">
        <x:v>预算/预留件（元）</x:v>
      </x:c>
      <x:c r="H17" s="9" t="str">
        <x:v>商品负责人</x:v>
      </x:c>
      <x:c r="I17" s="9" t="str">
        <x:v>执行状态</x:v>
      </x:c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A18" s="2" t="str">
        <x:v>自播</x:v>
      </x:c>
      <x:c r="B18" s="61" t="n">
        <x:v>5000</x:v>
      </x:c>
      <x:c r="C18" s="62" t="n">
        <x:f>SUMIFS('阶段预算'!$E$14:$E$40,'阶段预算'!$C$14:$C$40,A18)</x:f>
        <x:v>5000</x:v>
      </x:c>
      <x:c r="D18" s="63" t="n">
        <x:f>B18-C18</x:f>
        <x:v>0</x:v>
      </x:c>
      <x:c r="E18" s="64" t="n">
        <x:f>B18/$B$8</x:f>
        <x:v>0.4166666666666667</x:v>
      </x:c>
      <x:c r="F18" s="65" t="n">
        <x:f>SUMIFS('阶段预算'!$D$14:$D$40,'阶段预算'!$C$14:$C$40,A18)</x:f>
        <x:v>120000</x:v>
      </x:c>
      <x:c r="G18" s="66" t="n">
        <x:f>IF(B18=0,"n.a.",F18/B18)</x:f>
        <x:v>24</x:v>
      </x:c>
      <x:c r="H18" s="2" t="str">
        <x:v>梁川</x:v>
      </x:c>
      <x:c r="I18" s="2" t="str">
        <x:v>计划待上线</x:v>
      </x:c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A19" s="2" t="str">
        <x:v>达人直播</x:v>
      </x:c>
      <x:c r="B19" s="61" t="n">
        <x:v>4500</x:v>
      </x:c>
      <x:c r="C19" s="62" t="n">
        <x:f>SUMIFS('阶段预算'!$E$14:$E$40,'阶段预算'!$C$14:$C$40,A19)</x:f>
        <x:v>4500</x:v>
      </x:c>
      <x:c r="D19" s="63" t="n">
        <x:f>B19-C19</x:f>
        <x:v>0</x:v>
      </x:c>
      <x:c r="E19" s="64" t="n">
        <x:f>B19/$B$8</x:f>
        <x:v>0.375</x:v>
      </x:c>
      <x:c r="F19" s="65" t="n">
        <x:f>SUMIFS('阶段预算'!$D$14:$D$40,'阶段预算'!$C$14:$C$40,A19)</x:f>
        <x:v>120000</x:v>
      </x:c>
      <x:c r="G19" s="66" t="n">
        <x:f>IF(B19=0,"n.a.",F19/B19)</x:f>
        <x:v>26.666666666666668</x:v>
      </x:c>
      <x:c r="H19" s="2" t="str">
        <x:v>梁川</x:v>
      </x:c>
      <x:c r="I19" s="2" t="str">
        <x:v>计划待回签</x:v>
      </x:c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A20" s="2" t="str">
        <x:v>短视频</x:v>
      </x:c>
      <x:c r="B20" s="61" t="n">
        <x:v>2500</x:v>
      </x:c>
      <x:c r="C20" s="62" t="n">
        <x:f>SUMIFS('阶段预算'!$E$14:$E$40,'阶段预算'!$C$14:$C$40,A20)</x:f>
        <x:v>2500</x:v>
      </x:c>
      <x:c r="D20" s="63" t="n">
        <x:f>B20-C20</x:f>
        <x:v>0</x:v>
      </x:c>
      <x:c r="E20" s="64" t="n">
        <x:f>B20/$B$8</x:f>
        <x:v>0.20833333333333334</x:v>
      </x:c>
      <x:c r="F20" s="65" t="n">
        <x:f>SUMIFS('阶段预算'!$D$14:$D$40,'阶段预算'!$C$14:$C$40,A20)</x:f>
        <x:v>60000</x:v>
      </x:c>
      <x:c r="G20" s="66" t="n">
        <x:f>IF(B20=0,"n.a.",F20/B20)</x:f>
        <x:v>24</x:v>
      </x:c>
      <x:c r="H20" s="2" t="str">
        <x:v>梁川</x:v>
      </x:c>
      <x:c r="I20" s="2" t="str">
        <x:v>计划待排期</x:v>
      </x:c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A21" s="17" t="str">
        <x:v>合计</x:v>
      </x:c>
      <x:c r="B21" s="67" t="n">
        <x:f>SUM(B18:B20)</x:f>
        <x:v>12000</x:v>
      </x:c>
      <x:c r="C21" s="67" t="n">
        <x:f>SUM(C18:C20)</x:f>
        <x:v>12000</x:v>
      </x:c>
      <x:c r="D21" s="67" t="n">
        <x:f>SUM(D18:D20)</x:f>
        <x:v>0</x:v>
      </x:c>
      <x:c r="E21" s="68" t="n">
        <x:f>SUM(E18:E20)</x:f>
        <x:v>1</x:v>
      </x:c>
      <x:c r="F21" s="69" t="n">
        <x:f>SUM(F18:F20)</x:f>
        <x:v>300000</x:v>
      </x:c>
      <x:c r="G21" s="70" t="n">
        <x:f>IF(B21=0,"n.a.",F21/B21)</x:f>
        <x:v>25</x:v>
      </x:c>
      <x:c r="H21" s="17" t="str">
        <x:v>梁川</x:v>
      </x:c>
      <x:c r="I21" s="17" t="str">
        <x:v>计划待执行</x:v>
      </x:c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4" customHeight="1">
      <x:c r="A24" s="2" t="str">
        <x:v>库存总额核对（件）</x:v>
      </x:c>
      <x:c r="B24" s="56" t="n">
        <x:f>B21-B8</x:f>
        <x:v>0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4" customHeight="1">
      <x:c r="A25" s="2" t="str">
        <x:v>按计划价格计的库存货值（元）</x:v>
      </x:c>
      <x:c r="B25" s="15" t="n">
        <x:f>B21*B7</x:f>
        <x:v>3588000</x:v>
      </x:c>
      <x:c r="C25" s="2" t="str">
        <x:v>静态资源测算，非成交 GMV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4" customHeight="1">
      <x:c r="A27" s="6" t="str">
        <x:v>来源：TaskDoor 首发任务的合成演示设定。蓝字为可编辑输入，绿字为跨表链接。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</x:sheetData>
  <x:conditionalFormatting sqref="D18:D20">
    <x:cfRule type="cellIs" dxfId="1" priority="1" operator="notEqual">
      <x:formula>0</x:formula>
    </x:cfRule>
  </x:conditionalFormatting>
  <x:conditionalFormatting sqref="B24:B24">
    <x:cfRule type="cellIs" dxfId="2" priority="2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faa9d3b903a34be1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5" hidden="0" customWidth="1"/>
    <x:col min="4" max="4" width="16" hidden="0" customWidth="1"/>
    <x:col min="5" max="5" width="54" hidden="0" customWidth="1"/>
    <x:col min="6" max="6" width="54" hidden="0" customWidth="1"/>
    <x:col min="7" max="7" width="22" hidden="0" customWidth="1"/>
    <x:col min="8" max="8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秋季精华首发前检查</x:v>
      </x:c>
      <x:c r="B2" s="5"/>
      <x:c r="C2" s="5"/>
      <x:c r="D2" s="5"/>
      <x:c r="E2" s="5"/>
      <x:c r="F2" s="5"/>
      <x:c r="G2" s="5"/>
      <x:c r="H2" s="5"/>
      <x:c r="I2" s="71"/>
      <x:c r="J2" s="71"/>
    </x:row>
    <x:row r="3" ht="27" customHeight="1">
      <x:c r="A3" s="6" t="str">
        <x:v>合成演示记录 · 截止状态为计划准备中 · 必需条件未闭环时不标记任务完成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9" t="str">
        <x:v>检查项</x:v>
      </x:c>
      <x:c r="B5" s="9" t="str">
        <x:v>负责人</x:v>
      </x:c>
      <x:c r="C5" s="9" t="str">
        <x:v>截止日期</x:v>
      </x:c>
      <x:c r="D5" s="9" t="str">
        <x:v>当前状态</x:v>
      </x:c>
      <x:c r="E5" s="9" t="str">
        <x:v>现有证据 / 依据</x:v>
      </x:c>
      <x:c r="F5" s="9" t="str">
        <x:v>下一动作</x:v>
      </x:c>
      <x:c r="G5" s="9" t="str">
        <x:v>首发前必需（1/0）</x:v>
      </x:c>
      <x:c r="H5" s="9" t="str">
        <x:v>已闭环（1/0）</x:v>
      </x:c>
    </x:row>
    <x:row r="6" ht="48" customHeight="1">
      <x:c r="A6" s="2" t="str">
        <x:v>R01 达人回签</x:v>
      </x:c>
      <x:c r="B6" s="2" t="str">
        <x:v>周岚</x:v>
      </x:c>
      <x:c r="C6" s="74" t="d">
        <x:v>2026-09-08T00:00:00.000Z</x:v>
      </x:c>
      <x:c r="D6" s="2" t="str">
        <x:v>待回签</x:v>
      </x:c>
      <x:c r="E6" s="73" t="str">
        <x:v>8 名核心达人中 6 名已确认，2 名待回签</x:v>
      </x:c>
      <x:c r="F6" s="73" t="str">
        <x:v>补齐 2 份回签，确认锁档与交付排期</x:v>
      </x:c>
      <x:c r="G6" s="2" t="n">
        <x:v>1</x:v>
      </x:c>
      <x:c r="H6" s="75" t="n">
        <x:f>IF(D6="已验收",1,0)</x:f>
        <x:v>0</x:v>
      </x:c>
    </x:row>
    <x:row r="7" ht="48" customHeight="1">
      <x:c r="A7" s="2" t="str">
        <x:v>R02 商品价格</x:v>
      </x:c>
      <x:c r="B7" s="2" t="str">
        <x:v>梁川</x:v>
      </x:c>
      <x:c r="C7" s="74" t="d">
        <x:v>2026-09-08T00:00:00.000Z</x:v>
      </x:c>
      <x:c r="D7" s="2" t="str">
        <x:v>待复核</x:v>
      </x:c>
      <x:c r="E7" s="73" t="str">
        <x:v>30 ml 精华，计划券后到手价 299 元</x:v>
      </x:c>
      <x:c r="F7" s="73" t="str">
        <x:v>核对商品页、活动券与直播口播价格</x:v>
      </x:c>
      <x:c r="G7" s="2" t="n">
        <x:v>1</x:v>
      </x:c>
      <x:c r="H7" s="75" t="n">
        <x:f>IF(D7="已验收",1,0)</x:f>
        <x:v>0</x:v>
      </x:c>
    </x:row>
    <x:row r="8" ht="48" customHeight="1">
      <x:c r="A8" s="2" t="str">
        <x:v>R03 库存分配</x:v>
      </x:c>
      <x:c r="B8" s="2" t="str">
        <x:v>梁川</x:v>
      </x:c>
      <x:c r="C8" s="74" t="d">
        <x:v>2026-09-08T00:00:00.000Z</x:v>
      </x:c>
      <x:c r="D8" s="2" t="str">
        <x:v>待分配</x:v>
      </x:c>
      <x:c r="E8" s="73" t="str">
        <x:v>12,000 件；自播 5,000 / 达人 4,500 / 短视频 2,500</x:v>
      </x:c>
      <x:c r="F8" s="73" t="str">
        <x:v>校验渠道库存上限与超卖保护</x:v>
      </x:c>
      <x:c r="G8" s="2" t="n">
        <x:v>1</x:v>
      </x:c>
      <x:c r="H8" s="75" t="n">
        <x:f>IF(D8="已验收",1,0)</x:f>
        <x:v>0</x:v>
      </x:c>
    </x:row>
    <x:row r="9" ht="48" customHeight="1">
      <x:c r="A9" s="2" t="str">
        <x:v>R04 素材文案</x:v>
      </x:c>
      <x:c r="B9" s="2" t="str">
        <x:v>周岚</x:v>
      </x:c>
      <x:c r="C9" s="74" t="d">
        <x:v>2026-09-09T00:00:00.000Z</x:v>
      </x:c>
      <x:c r="D9" s="2" t="str">
        <x:v>待审核</x:v>
      </x:c>
      <x:c r="E9" s="73" t="str">
        <x:v>只使用审核通过文案，未提供功效实验数据</x:v>
      </x:c>
      <x:c r="F9" s="73" t="str">
        <x:v>完成素材及宣称审核，归档审批版</x:v>
      </x:c>
      <x:c r="G9" s="2" t="n">
        <x:v>1</x:v>
      </x:c>
      <x:c r="H9" s="75" t="n">
        <x:f>IF(D9="已验收",1,0)</x:f>
        <x:v>0</x:v>
      </x:c>
    </x:row>
    <x:row r="10" ht="48" customHeight="1">
      <x:c r="A10" s="2" t="str">
        <x:v>R05 投放预算</x:v>
      </x:c>
      <x:c r="B10" s="2" t="str">
        <x:v>许宁</x:v>
      </x:c>
      <x:c r="C10" s="74" t="d">
        <x:v>2026-09-09T00:00:00.000Z</x:v>
      </x:c>
      <x:c r="D10" s="2" t="str">
        <x:v>待执行</x:v>
      </x:c>
      <x:c r="E10" s="73" t="str">
        <x:v>冷启 60,000 / 放量 180,000 / 追投 60,000 元</x:v>
      </x:c>
      <x:c r="F10" s="73" t="str">
        <x:v>确认阶段封顶与追加审批流程</x:v>
      </x:c>
      <x:c r="G10" s="2" t="n">
        <x:v>1</x:v>
      </x:c>
      <x:c r="H10" s="75" t="n">
        <x:f>IF(D10="已验收",1,0)</x:f>
        <x:v>0</x:v>
      </x:c>
    </x:row>
    <x:row r="11" ht="48" customHeight="1">
      <x:c r="A11" s="2" t="str">
        <x:v>R06 归因测试</x:v>
      </x:c>
      <x:c r="B11" s="2" t="str">
        <x:v>韩序</x:v>
      </x:c>
      <x:c r="C11" s="74" t="d">
        <x:v>2026-09-09T00:00:00.000Z</x:v>
      </x:c>
      <x:c r="D11" s="2" t="str">
        <x:v>待校验</x:v>
      </x:c>
      <x:c r="E11" s="73" t="str">
        <x:v>渠道链接与订单归因尚未验收</x:v>
      </x:c>
      <x:c r="F11" s="73" t="str">
        <x:v>跑通测试订单，核对回传及去重</x:v>
      </x:c>
      <x:c r="G11" s="2" t="n">
        <x:v>1</x:v>
      </x:c>
      <x:c r="H11" s="75" t="n">
        <x:f>IF(D11="已验收",1,0)</x:f>
        <x:v>0</x:v>
      </x:c>
    </x:row>
    <x:row r="12" ht="48" customHeight="1">
      <x:c r="A12" s="2" t="str">
        <x:v>R07 客服准备</x:v>
      </x:c>
      <x:c r="B12" s="2" t="str">
        <x:v>周岚</x:v>
      </x:c>
      <x:c r="C12" s="74" t="d">
        <x:v>2026-09-09T00:00:00.000Z</x:v>
      </x:c>
      <x:c r="D12" s="2" t="str">
        <x:v>待同步</x:v>
      </x:c>
      <x:c r="E12" s="73" t="str">
        <x:v>FAQ、价格说明与退换条款待同步</x:v>
      </x:c>
      <x:c r="F12" s="73" t="str">
        <x:v>统一客服答疑与异常升级联系人</x:v>
      </x:c>
      <x:c r="G12" s="2" t="n">
        <x:v>1</x:v>
      </x:c>
      <x:c r="H12" s="75" t="n">
        <x:f>IF(D12="已验收",1,0)</x:f>
        <x:v>0</x:v>
      </x:c>
    </x:row>
    <x:row r="13" ht="48" customHeight="1">
      <x:c r="A13" s="2" t="str">
        <x:v>R08 首发复盘</x:v>
      </x:c>
      <x:c r="B13" s="2" t="str">
        <x:v>韩序</x:v>
      </x:c>
      <x:c r="C13" s="74" t="d">
        <x:v>2026-09-19T00:00:00.000Z</x:v>
      </x:c>
      <x:c r="D13" s="2" t="str">
        <x:v>待回填</x:v>
      </x:c>
      <x:c r="E13" s="73" t="str">
        <x:v>本工作簿未包含实际成交或实际消耗</x:v>
      </x:c>
      <x:c r="F13" s="73" t="str">
        <x:v>首发后回填实际导出并核对口径</x:v>
      </x:c>
      <x:c r="G13" s="2" t="n">
        <x:v>0</x:v>
      </x:c>
      <x:c r="H13" s="75" t="n">
        <x:f>IF(D13="已验收",1,0)</x:f>
        <x:v>0</x:v>
      </x:c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 t="str">
        <x:v>首发前未闭环事项</x:v>
      </x:c>
      <x:c r="B16" s="54" t="n">
        <x:f>SUM(G6:G13)-SUMPRODUCT(G6:G13,H6:H13)</x:f>
        <x:v>7</x:v>
      </x:c>
      <x:c r="C16" s="2"/>
      <x:c r="D16" s="2"/>
      <x:c r="E16" s="2"/>
      <x:c r="F16" s="2"/>
      <x:c r="G16" s="2"/>
      <x:c r="H16" s="2"/>
    </x:row>
    <x:row r="17" ht="24" customHeight="1">
      <x:c r="A17" s="2" t="str">
        <x:v>首发准备判断</x:v>
      </x:c>
      <x:c r="B17" s="2" t="str">
        <x:f>IF(B16=0,"可进入上线复核","首发前条件未齐")</x:f>
        <x:v>首发前条件未齐</x:v>
      </x:c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6" t="str">
        <x:v>“已验收”仅在验收材料归档后填写。达人确认与回签是不同的检查项。</x:v>
      </x:c>
      <x:c r="B19" s="2"/>
      <x:c r="C19" s="2"/>
      <x:c r="D19" s="2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</x:sheetData>
  <x:conditionalFormatting sqref="D6:D13">
    <x:cfRule type="notContainsText" dxfId="3" priority="1" text="已验收"/>
  </x:conditionalFormatting>
  <x:dataValidations count="1">
    <x:dataValidation type="list" sqref="D6:D13">
      <x:formula1>"待回签,待复核,待分配,待审核,待执行,待校验,待同步,待回填,已验收"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2f8be2ebfe4b0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52" hidden="0" customWidth="1"/>
    <x:col min="4" max="4" width="31" hidden="0" customWidth="1"/>
    <x:col min="5" max="5" width="24" hidden="0" customWidth="1"/>
    <x:col min="6" max="6" width="10" hidden="0" customWidth="1"/>
    <x:col min="7" max="7" width="29" hidden="0" customWidth="1"/>
    <x:col min="8" max="8" width="29" hidden="0" customWidth="1"/>
    <x:col min="9" max="9" width="13" hidden="0" customWidth="1"/>
    <x:col min="10" max="10" width="2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首发指标与数据口径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7" customHeight="1">
      <x:c r="A3" s="6" t="str">
        <x:v>合成演示计划 · 实际指标尚未回填 · 报告时须区分库存预留、支付成交和退款后净成交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9" t="str">
        <x:v>指标代码</x:v>
      </x:c>
      <x:c r="B5" s="9" t="str">
        <x:v>指标</x:v>
      </x:c>
      <x:c r="C5" s="9" t="str">
        <x:v>定义</x:v>
      </x:c>
      <x:c r="D5" s="9" t="str">
        <x:v>分子 / 计算项</x:v>
      </x:c>
      <x:c r="E5" s="9" t="str">
        <x:v>分母</x:v>
      </x:c>
      <x:c r="F5" s="9" t="str">
        <x:v>单位</x:v>
      </x:c>
      <x:c r="G5" s="9" t="str">
        <x:v>数据来源</x:v>
      </x:c>
      <x:c r="H5" s="9" t="str">
        <x:v>报告时点</x:v>
      </x:c>
      <x:c r="I5" s="9" t="str">
        <x:v>负责人</x:v>
      </x:c>
      <x:c r="J5" s="9" t="str">
        <x:v>当前状态</x:v>
      </x:c>
    </x:row>
    <x:row r="6" ht="48" customHeight="1">
      <x:c r="A6" s="2" t="str">
        <x:v>budget_plan</x:v>
      </x:c>
      <x:c r="B6" s="2" t="str">
        <x:v>计划投放预算</x:v>
      </x:c>
      <x:c r="C6" s="73" t="str">
        <x:v>首发期拟分配的渠道投放金额</x:v>
      </x:c>
      <x:c r="D6" s="73" t="str">
        <x:v>日渠道预算合计</x:v>
      </x:c>
      <x:c r="E6" s="73" t="str">
        <x:v>不适用</x:v>
      </x:c>
      <x:c r="F6" s="2" t="str">
        <x:v>元</x:v>
      </x:c>
      <x:c r="G6" s="2" t="str">
        <x:v>本工作簿阶段预算</x:v>
      </x:c>
      <x:c r="H6" s="2" t="str">
        <x:v>首发前</x:v>
      </x:c>
      <x:c r="I6" s="2" t="str">
        <x:v>许宁</x:v>
      </x:c>
      <x:c r="J6" s="2" t="str">
        <x:v>已建立计划</x:v>
      </x:c>
    </x:row>
    <x:row r="7" ht="48" customHeight="1">
      <x:c r="A7" s="2" t="str">
        <x:v>inventory_reserved</x:v>
      </x:c>
      <x:c r="B7" s="2" t="str">
        <x:v>渠道预留库存</x:v>
      </x:c>
      <x:c r="C7" s="73" t="str">
        <x:v>分配给该渠道的可售资源额度</x:v>
      </x:c>
      <x:c r="D7" s="73" t="str">
        <x:v>渠道预留件数</x:v>
      </x:c>
      <x:c r="E7" s="73" t="str">
        <x:v>不适用</x:v>
      </x:c>
      <x:c r="F7" s="2" t="str">
        <x:v>件</x:v>
      </x:c>
      <x:c r="G7" s="2" t="str">
        <x:v>本工作簿库存渠道</x:v>
      </x:c>
      <x:c r="H7" s="2" t="str">
        <x:v>首发前</x:v>
      </x:c>
      <x:c r="I7" s="2" t="str">
        <x:v>梁川</x:v>
      </x:c>
      <x:c r="J7" s="2" t="str">
        <x:v>已建立计划</x:v>
      </x:c>
    </x:row>
    <x:row r="8" ht="48" customHeight="1">
      <x:c r="A8" s="2" t="str">
        <x:v>planned_price</x:v>
      </x:c>
      <x:c r="B8" s="2" t="str">
        <x:v>计划到手价</x:v>
      </x:c>
      <x:c r="C8" s="73" t="str">
        <x:v>30 ml 单支活动券后计划价格</x:v>
      </x:c>
      <x:c r="D8" s="73" t="str">
        <x:v>不适用</x:v>
      </x:c>
      <x:c r="E8" s="73" t="str">
        <x:v>不适用</x:v>
      </x:c>
      <x:c r="F8" s="2" t="str">
        <x:v>元/支</x:v>
      </x:c>
      <x:c r="G8" s="2" t="str">
        <x:v>商品活动设定</x:v>
      </x:c>
      <x:c r="H8" s="2" t="str">
        <x:v>首发前复核</x:v>
      </x:c>
      <x:c r="I8" s="2" t="str">
        <x:v>梁川</x:v>
      </x:c>
      <x:c r="J8" s="2" t="str">
        <x:v>待复核</x:v>
      </x:c>
    </x:row>
    <x:row r="9" ht="48" customHeight="1">
      <x:c r="A9" s="2" t="str">
        <x:v>inventory_value</x:v>
      </x:c>
      <x:c r="B9" s="2" t="str">
        <x:v>计划价格库存货值</x:v>
      </x:c>
      <x:c r="C9" s="73" t="str">
        <x:v>库存预留 × 计划到手价，静态资源测算</x:v>
      </x:c>
      <x:c r="D9" s="73" t="str">
        <x:v>预留件数 × 299 元</x:v>
      </x:c>
      <x:c r="E9" s="73" t="str">
        <x:v>不适用</x:v>
      </x:c>
      <x:c r="F9" s="2" t="str">
        <x:v>元</x:v>
      </x:c>
      <x:c r="G9" s="2" t="str">
        <x:v>库存与计划价格</x:v>
      </x:c>
      <x:c r="H9" s="2" t="str">
        <x:v>首发前</x:v>
      </x:c>
      <x:c r="I9" s="2" t="str">
        <x:v>梁川</x:v>
      </x:c>
      <x:c r="J9" s="2" t="str">
        <x:v>非成交 GMV</x:v>
      </x:c>
    </x:row>
    <x:row r="10" ht="48" customHeight="1">
      <x:c r="A10" s="2" t="str">
        <x:v>talent_confirmation</x:v>
      </x:c>
      <x:c r="B10" s="2" t="str">
        <x:v>达人确认比例</x:v>
      </x:c>
      <x:c r="C10" s="73" t="str">
        <x:v>已确认意向占核心达人名单的比例</x:v>
      </x:c>
      <x:c r="D10" s="73" t="str">
        <x:v>已确认 6 名</x:v>
      </x:c>
      <x:c r="E10" s="73" t="str">
        <x:v>核心达人 8 名</x:v>
      </x:c>
      <x:c r="F10" s="2" t="str">
        <x:v>%</x:v>
      </x:c>
      <x:c r="G10" s="2" t="str">
        <x:v>首发合作名单</x:v>
      </x:c>
      <x:c r="H10" s="2" t="str">
        <x:v>首发前</x:v>
      </x:c>
      <x:c r="I10" s="2" t="str">
        <x:v>周岚</x:v>
      </x:c>
      <x:c r="J10" s="2" t="str">
        <x:v>2 名待回签</x:v>
      </x:c>
    </x:row>
    <x:row r="11" ht="48" customHeight="1">
      <x:c r="A11" s="2" t="str">
        <x:v>spend_actual</x:v>
      </x:c>
      <x:c r="B11" s="2" t="str">
        <x:v>实际投放消耗</x:v>
      </x:c>
      <x:c r="C11" s="73" t="str">
        <x:v>平台实扣投放费用，去除重复导出</x:v>
      </x:c>
      <x:c r="D11" s="73" t="str">
        <x:v>平台实扣金额</x:v>
      </x:c>
      <x:c r="E11" s="73" t="str">
        <x:v>不适用</x:v>
      </x:c>
      <x:c r="F11" s="2" t="str">
        <x:v>元</x:v>
      </x:c>
      <x:c r="G11" s="2" t="str">
        <x:v>平台投放账单</x:v>
      </x:c>
      <x:c r="H11" s="2" t="str">
        <x:v>按日及窗口汇总</x:v>
      </x:c>
      <x:c r="I11" s="2" t="str">
        <x:v>许宁</x:v>
      </x:c>
      <x:c r="J11" s="2" t="str">
        <x:v>未提供实际数据</x:v>
      </x:c>
    </x:row>
    <x:row r="12" ht="48" customHeight="1">
      <x:c r="A12" s="2" t="str">
        <x:v>gmv_paid</x:v>
      </x:c>
      <x:c r="B12" s="2" t="str">
        <x:v>支付成交 GMV</x:v>
      </x:c>
      <x:c r="C12" s="73" t="str">
        <x:v>首发窗口支付订单金额，按订单 ID 去重</x:v>
      </x:c>
      <x:c r="D12" s="73" t="str">
        <x:v>支付订单金额</x:v>
      </x:c>
      <x:c r="E12" s="73" t="str">
        <x:v>不适用</x:v>
      </x:c>
      <x:c r="F12" s="2" t="str">
        <x:v>元</x:v>
      </x:c>
      <x:c r="G12" s="2" t="str">
        <x:v>订单支付导出</x:v>
      </x:c>
      <x:c r="H12" s="2" t="str">
        <x:v>2026-09-10 至 09-18</x:v>
      </x:c>
      <x:c r="I12" s="2" t="str">
        <x:v>韩序</x:v>
      </x:c>
      <x:c r="J12" s="2" t="str">
        <x:v>未提供实际数据</x:v>
      </x:c>
    </x:row>
    <x:row r="13" ht="48" customHeight="1">
      <x:c r="A13" s="2" t="str">
        <x:v>gmv_net</x:v>
      </x:c>
      <x:c r="B13" s="2" t="str">
        <x:v>退款后净成交</x:v>
      </x:c>
      <x:c r="C13" s="73" t="str">
        <x:v>同窗口支付成交减该订单已确认退款</x:v>
      </x:c>
      <x:c r="D13" s="73" t="str">
        <x:v>支付成交 GMV − 退款金额</x:v>
      </x:c>
      <x:c r="E13" s="73" t="str">
        <x:v>不适用</x:v>
      </x:c>
      <x:c r="F13" s="2" t="str">
        <x:v>元</x:v>
      </x:c>
      <x:c r="G13" s="2" t="str">
        <x:v>订单与退款导出</x:v>
      </x:c>
      <x:c r="H13" s="2" t="str">
        <x:v>注明退款观察截止日</x:v>
      </x:c>
      <x:c r="I13" s="2" t="str">
        <x:v>韩序</x:v>
      </x:c>
      <x:c r="J13" s="2" t="str">
        <x:v>未提供实际数据</x:v>
      </x:c>
    </x:row>
    <x:row r="14" ht="48" customHeight="1">
      <x:c r="A14" s="2" t="str">
        <x:v>roas_paid</x:v>
      </x:c>
      <x:c r="B14" s="2" t="str">
        <x:v>支付 ROAS</x:v>
      </x:c>
      <x:c r="C14" s="73" t="str">
        <x:v>归因支付成交额 / 同范围实扣投放消耗</x:v>
      </x:c>
      <x:c r="D14" s="73" t="str">
        <x:v>归因支付成交 GMV</x:v>
      </x:c>
      <x:c r="E14" s="73" t="str">
        <x:v>实际投放消耗</x:v>
      </x:c>
      <x:c r="F14" s="2" t="str">
        <x:v>倍</x:v>
      </x:c>
      <x:c r="G14" s="2" t="str">
        <x:v>支付订单与投放账单</x:v>
      </x:c>
      <x:c r="H14" s="2" t="str">
        <x:v>同窗口、同渠道</x:v>
      </x:c>
      <x:c r="I14" s="2" t="str">
        <x:v>韩序</x:v>
      </x:c>
      <x:c r="J14" s="2" t="str">
        <x:v>缺少实际分子和分母</x:v>
      </x:c>
    </x:row>
    <x:row r="15" ht="48" customHeight="1">
      <x:c r="A15" s="2" t="str">
        <x:v>refund_rate</x:v>
      </x:c>
      <x:c r="B15" s="2" t="str">
        <x:v>退款金额占比</x:v>
      </x:c>
      <x:c r="C15" s="73" t="str">
        <x:v>已确认退款金额 / 同批订单支付金额</x:v>
      </x:c>
      <x:c r="D15" s="73" t="str">
        <x:v>已确认退款金额</x:v>
      </x:c>
      <x:c r="E15" s="73" t="str">
        <x:v>同批支付成交 GMV</x:v>
      </x:c>
      <x:c r="F15" s="2" t="str">
        <x:v>%</x:v>
      </x:c>
      <x:c r="G15" s="2" t="str">
        <x:v>订单退款导出</x:v>
      </x:c>
      <x:c r="H15" s="2" t="str">
        <x:v>注明退款观察截止日</x:v>
      </x:c>
      <x:c r="I15" s="2" t="str">
        <x:v>韩序</x:v>
      </x:c>
      <x:c r="J15" s="2" t="str">
        <x:v>未提供实际数据</x:v>
      </x:c>
    </x:row>
    <x:row r="16" ht="48" customHeight="1">
      <x:c r="A16" s="2" t="str">
        <x:v>conversion_rate</x:v>
      </x:c>
      <x:c r="B16" s="2" t="str">
        <x:v>支付转化率</x:v>
      </x:c>
      <x:c r="C16" s="73" t="str">
        <x:v>归因支付买家数 / 同范围访客数</x:v>
      </x:c>
      <x:c r="D16" s="73" t="str">
        <x:v>去重支付买家数</x:v>
      </x:c>
      <x:c r="E16" s="73" t="str">
        <x:v>去重访客数</x:v>
      </x:c>
      <x:c r="F16" s="2" t="str">
        <x:v>%</x:v>
      </x:c>
      <x:c r="G16" s="2" t="str">
        <x:v>流量与订单导出</x:v>
      </x:c>
      <x:c r="H16" s="2" t="str">
        <x:v>同窗口、同渠道</x:v>
      </x:c>
      <x:c r="I16" s="2" t="str">
        <x:v>韩序</x:v>
      </x:c>
      <x:c r="J16" s="2" t="str">
        <x:v>未提供实际数据</x:v>
      </x:c>
    </x:row>
    <x:row r="17" ht="48" customHeight="1">
      <x:c r="A17" s="2" t="str">
        <x:v>budget_per_reserved</x:v>
      </x:c>
      <x:c r="B17" s="2" t="str">
        <x:v>预算/预留件</x:v>
      </x:c>
      <x:c r="C17" s="73" t="str">
        <x:v>计划投放预算 / 渠道预留库存；非获客成本</x:v>
      </x:c>
      <x:c r="D17" s="73" t="str">
        <x:v>计划投放预算</x:v>
      </x:c>
      <x:c r="E17" s="73" t="str">
        <x:v>渠道预留库存</x:v>
      </x:c>
      <x:c r="F17" s="2" t="str">
        <x:v>元/件</x:v>
      </x:c>
      <x:c r="G17" s="2" t="str">
        <x:v>预算与库存分配</x:v>
      </x:c>
      <x:c r="H17" s="2" t="str">
        <x:v>首发前</x:v>
      </x:c>
      <x:c r="I17" s="2" t="str">
        <x:v>许宁</x:v>
      </x:c>
      <x:c r="J17" s="2" t="str">
        <x:v>只反映资源密度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</x:sheetData>
  <x:pageMargins left="0.7" right="0.7" top="0.75" bottom="0.75" header="0.3" footer="0.3"/>
  <x:tableParts count="1">
    <x:tablePart xmlns:r="http://schemas.openxmlformats.org/officeDocument/2006/relationships" r:id="Rc44e912831ba42ab"/>
  </x:tableParts>
</x:worksheet>
</file>